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Données" sheetId="2" state="visible" r:id="rId4"/>
    <sheet name="Calcul" sheetId="3" state="visible" r:id="rId5"/>
    <sheet name="Réfé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<sst xmlns="http://schemas.openxmlformats.org/spreadsheetml/2006/main" count="169" uniqueCount="152">
  <si>
    <t xml:space="preserve">Ars Typographica</t>
  </si>
  <si>
    <t xml:space="preserve">Charte Graphique Minimaliste — Template XLSX</t>
  </si>
  <si>
    <t xml:space="preserve">Version</t>
  </si>
  <si>
    <t xml:space="preserve">1.0 — Mars 2026</t>
  </si>
  <si>
    <t xml:space="preserve">Contexte</t>
  </si>
  <si>
    <t xml:space="preserve">Usage académique &amp; personnel</t>
  </si>
  <si>
    <t xml:space="preserve">Palette</t>
  </si>
  <si>
    <t xml:space="preserve">Noir &amp; Blanc pur</t>
  </si>
  <si>
    <t xml:space="preserve">Polices</t>
  </si>
  <si>
    <t xml:space="preserve">Times New Roman + Courier New</t>
  </si>
  <si>
    <t xml:space="preserve">Feuilles</t>
  </si>
  <si>
    <t xml:space="preserve">Accueil · Données · Calcul · Référence</t>
  </si>
  <si>
    <t xml:space="preserve">Tokens de design</t>
  </si>
  <si>
    <t xml:space="preserve">Token CSS / Variable</t>
  </si>
  <si>
    <t xml:space="preserve">Valeur</t>
  </si>
  <si>
    <t xml:space="preserve">Description</t>
  </si>
  <si>
    <t xml:space="preserve">--font-serif</t>
  </si>
  <si>
    <t xml:space="preserve">Times New Roman</t>
  </si>
  <si>
    <t xml:space="preserve">Police principale</t>
  </si>
  <si>
    <t xml:space="preserve">--font-mono</t>
  </si>
  <si>
    <t xml:space="preserve">Courier New</t>
  </si>
  <si>
    <t xml:space="preserve">Police monospace</t>
  </si>
  <si>
    <t xml:space="preserve">--color-ink</t>
  </si>
  <si>
    <t xml:space="preserve">#111111</t>
  </si>
  <si>
    <t xml:space="preserve">Texte principal</t>
  </si>
  <si>
    <t xml:space="preserve">--color-dark</t>
  </si>
  <si>
    <t xml:space="preserve">#333333</t>
  </si>
  <si>
    <t xml:space="preserve">Texte secondaire</t>
  </si>
  <si>
    <t xml:space="preserve">--color-mid</t>
  </si>
  <si>
    <t xml:space="preserve">#666666</t>
  </si>
  <si>
    <t xml:space="preserve">Légendes / métadonnées</t>
  </si>
  <si>
    <t xml:space="preserve">--color-light</t>
  </si>
  <si>
    <t xml:space="preserve">#AAAAAA</t>
  </si>
  <si>
    <t xml:space="preserve">Filets légers / repères</t>
  </si>
  <si>
    <t xml:space="preserve">--color-rule</t>
  </si>
  <si>
    <t xml:space="preserve">#CCCCCC</t>
  </si>
  <si>
    <t xml:space="preserve">Filets standard</t>
  </si>
  <si>
    <t xml:space="preserve">--color-bg-code</t>
  </si>
  <si>
    <t xml:space="preserve">#F5F5F5</t>
  </si>
  <si>
    <t xml:space="preserve">Fond de bloc code</t>
  </si>
  <si>
    <t xml:space="preserve">--size-body</t>
  </si>
  <si>
    <t xml:space="preserve">11 pt</t>
  </si>
  <si>
    <t xml:space="preserve">Corps de texte</t>
  </si>
  <si>
    <t xml:space="preserve">--size-h1</t>
  </si>
  <si>
    <t xml:space="preserve">17 pt</t>
  </si>
  <si>
    <t xml:space="preserve">Titre H1</t>
  </si>
  <si>
    <t xml:space="preserve">--size-h2</t>
  </si>
  <si>
    <t xml:space="preserve">13 pt</t>
  </si>
  <si>
    <t xml:space="preserve">Titre H2</t>
  </si>
  <si>
    <t xml:space="preserve">--leading-body</t>
  </si>
  <si>
    <t xml:space="preserve">16 pt</t>
  </si>
  <si>
    <t xml:space="preserve">Interlignage corps</t>
  </si>
  <si>
    <t xml:space="preserve">--margin-page</t>
  </si>
  <si>
    <t xml:space="preserve">28 mm</t>
  </si>
  <si>
    <t xml:space="preserve">Marges A4</t>
  </si>
  <si>
    <t xml:space="preserve">--rule-light</t>
  </si>
  <si>
    <t xml:space="preserve">0.4 pt</t>
  </si>
  <si>
    <t xml:space="preserve">Filet léger</t>
  </si>
  <si>
    <t xml:space="preserve">--rule-heavy</t>
  </si>
  <si>
    <t xml:space="preserve">1.2 pt</t>
  </si>
  <si>
    <t xml:space="preserve">Filet d'ouverture</t>
  </si>
  <si>
    <t xml:space="preserve">Identifiant</t>
  </si>
  <si>
    <t xml:space="preserve">Catégorie</t>
  </si>
  <si>
    <t xml:space="preserve">Valeur réelle</t>
  </si>
  <si>
    <t xml:space="preserve">Valeur normée</t>
  </si>
  <si>
    <t xml:space="preserve">Statut</t>
  </si>
  <si>
    <t xml:space="preserve">Notes</t>
  </si>
  <si>
    <t xml:space="preserve">ID-001</t>
  </si>
  <si>
    <t xml:space="preserve">Premier enregistrement de test</t>
  </si>
  <si>
    <t xml:space="preserve">Type A</t>
  </si>
  <si>
    <t xml:space="preserve">Validé</t>
  </si>
  <si>
    <t xml:space="preserve">Conforme aux spécifications</t>
  </si>
  <si>
    <t xml:space="preserve">ID-002</t>
  </si>
  <si>
    <t xml:space="preserve">Deuxième enregistrement</t>
  </si>
  <si>
    <t xml:space="preserve">Type B</t>
  </si>
  <si>
    <t xml:space="preserve">ID-003</t>
  </si>
  <si>
    <t xml:space="preserve">Troisième enregistrement</t>
  </si>
  <si>
    <t xml:space="preserve">En attente</t>
  </si>
  <si>
    <t xml:space="preserve">Vérification requise</t>
  </si>
  <si>
    <t xml:space="preserve">ID-004</t>
  </si>
  <si>
    <t xml:space="preserve">Quatrième enregistrement</t>
  </si>
  <si>
    <t xml:space="preserve">Type C</t>
  </si>
  <si>
    <t xml:space="preserve">ID-005</t>
  </si>
  <si>
    <t xml:space="preserve">Cinquième enregistrement</t>
  </si>
  <si>
    <t xml:space="preserve">Résultat atypique</t>
  </si>
  <si>
    <t xml:space="preserve">ID-006</t>
  </si>
  <si>
    <t xml:space="preserve">Sixième enregistrement</t>
  </si>
  <si>
    <t xml:space="preserve">Rejeté</t>
  </si>
  <si>
    <t xml:space="preserve">Hors tolérance ±5 %</t>
  </si>
  <si>
    <t xml:space="preserve">ID-007</t>
  </si>
  <si>
    <t xml:space="preserve">Septième enregistrement</t>
  </si>
  <si>
    <t xml:space="preserve">ID-008</t>
  </si>
  <si>
    <t xml:space="preserve">Huitième enregistrement</t>
  </si>
  <si>
    <t xml:space="preserve">ID-009</t>
  </si>
  <si>
    <t xml:space="preserve">Neuvième enregistrement</t>
  </si>
  <si>
    <t xml:space="preserve">Données incomplètes</t>
  </si>
  <si>
    <t xml:space="preserve">ID-010</t>
  </si>
  <si>
    <t xml:space="preserve">Dixième enregistrement</t>
  </si>
  <si>
    <t xml:space="preserve">Total / Moyenne</t>
  </si>
  <si>
    <t xml:space="preserve">Modèle de calcul — Exemple</t>
  </si>
  <si>
    <t xml:space="preserve">§ 1 — Hypothèses</t>
  </si>
  <si>
    <t xml:space="preserve">Taux de croissance annuel</t>
  </si>
  <si>
    <t xml:space="preserve">Valeur initiale (base)</t>
  </si>
  <si>
    <t xml:space="preserve">Nombre de périodes</t>
  </si>
  <si>
    <t xml:space="preserve">Taux d'actualisation</t>
  </si>
  <si>
    <t xml:space="preserve">§ 2 — Projection</t>
  </si>
  <si>
    <t xml:space="preserve">Période</t>
  </si>
  <si>
    <t xml:space="preserve">Croissance</t>
  </si>
  <si>
    <t xml:space="preserve">Actualisée</t>
  </si>
  <si>
    <t xml:space="preserve">Cumul actualisé</t>
  </si>
  <si>
    <t xml:space="preserve">Feuille de référence — Conventions</t>
  </si>
  <si>
    <t xml:space="preserve">Règles de nommage, formats numériques et codes couleurs</t>
  </si>
  <si>
    <t xml:space="preserve">Conventions de couleurs (modèles financiers)</t>
  </si>
  <si>
    <t xml:space="preserve">Couleur</t>
  </si>
  <si>
    <t xml:space="preserve">Signification</t>
  </si>
  <si>
    <t xml:space="preserve">Usage</t>
  </si>
  <si>
    <t xml:space="preserve">Bleu #0000FF</t>
  </si>
  <si>
    <t xml:space="preserve">Hypothèse / Input</t>
  </si>
  <si>
    <t xml:space="preserve">Valeurs saisies manuellement par l'utilisateur</t>
  </si>
  <si>
    <t xml:space="preserve">Noir #000000</t>
  </si>
  <si>
    <t xml:space="preserve">Formule / Calcul</t>
  </si>
  <si>
    <t xml:space="preserve">Résultats calculés — ne pas modifier</t>
  </si>
  <si>
    <t xml:space="preserve">Vert #008000</t>
  </si>
  <si>
    <t xml:space="preserve">Lien intra-classeur</t>
  </si>
  <si>
    <t xml:space="preserve">Référence à une autre feuille</t>
  </si>
  <si>
    <t xml:space="preserve">Rouge #FF0000</t>
  </si>
  <si>
    <t xml:space="preserve">Lien externe</t>
  </si>
  <si>
    <t xml:space="preserve">Import d'un autre fichier</t>
  </si>
  <si>
    <t xml:space="preserve">Jaune #FFFF00</t>
  </si>
  <si>
    <t xml:space="preserve">Hypothèse à vérifier</t>
  </si>
  <si>
    <t xml:space="preserve">Cellule nécessitant attention ou mise à jour</t>
  </si>
  <si>
    <t xml:space="preserve">Formats numériques recommandés</t>
  </si>
  <si>
    <t xml:space="preserve">Format</t>
  </si>
  <si>
    <t xml:space="preserve">Exemple</t>
  </si>
  <si>
    <t xml:space="preserve">#,##0</t>
  </si>
  <si>
    <t xml:space="preserve">1 234</t>
  </si>
  <si>
    <t xml:space="preserve">Entier avec séparateur milliers</t>
  </si>
  <si>
    <t xml:space="preserve">#,##0.00</t>
  </si>
  <si>
    <t xml:space="preserve">1 234.56</t>
  </si>
  <si>
    <t xml:space="preserve">Décimal 2 places</t>
  </si>
  <si>
    <t xml:space="preserve">0.0%</t>
  </si>
  <si>
    <t xml:space="preserve">12.5%</t>
  </si>
  <si>
    <t xml:space="preserve">Pourcentage 1 décimale</t>
  </si>
  <si>
    <t xml:space="preserve">0.0x</t>
  </si>
  <si>
    <t xml:space="preserve">3.2x</t>
  </si>
  <si>
    <t xml:space="preserve">Multiple (ex. VE/EBITDA)</t>
  </si>
  <si>
    <t xml:space="preserve">#,##0;(#,##0);-</t>
  </si>
  <si>
    <t xml:space="preserve">1 234 / (234) / -</t>
  </si>
  <si>
    <t xml:space="preserve">Avec parenthèses pour négatifs</t>
  </si>
  <si>
    <t xml:space="preserve">YYYY-MM-DD</t>
  </si>
  <si>
    <t xml:space="preserve">2026-03-07</t>
  </si>
  <si>
    <t xml:space="preserve">Date ISO 8601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</si>
</sst>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%"/>
    <numFmt numFmtId="167" formatCode="#,##0.00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11111"/>
      <name val="Times New Roman"/>
      <family val="0"/>
      <charset val="1"/>
    </font>
    <font>
      <i val="true"/>
      <sz val="12"/>
      <color rgb="FF666666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333333"/>
      <name val="Times New Roman"/>
      <family val="0"/>
      <charset val="1"/>
    </font>
    <font>
      <b val="true"/>
      <sz val="11"/>
      <color rgb="FF111111"/>
      <name val="Times New Roman"/>
      <family val="0"/>
      <charset val="1"/>
    </font>
    <font>
      <b val="true"/>
      <sz val="9"/>
      <color rgb="FFFFFFFF"/>
      <name val="Times New Roman"/>
      <family val="0"/>
      <charset val="1"/>
    </font>
    <font>
      <sz val="9"/>
      <color rgb="FF333333"/>
      <name val="Courier New"/>
      <family val="0"/>
      <charset val="1"/>
    </font>
    <font>
      <sz val="9"/>
      <color rgb="FF111111"/>
      <name val="Courier New"/>
      <family val="0"/>
      <charset val="1"/>
    </font>
    <font>
      <b val="true"/>
      <sz val="14"/>
      <color rgb="FF111111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9"/>
      <color rgb="FF0000CC"/>
      <name val="Courier New"/>
      <family val="0"/>
      <charset val="1"/>
    </font>
    <font>
      <sz val="9"/>
      <color rgb="FF111111"/>
      <name val="Times New Roman"/>
      <family val="0"/>
      <charset val="1"/>
    </font>
    <font>
      <b val="true"/>
      <sz val="13"/>
      <color rgb="FF111111"/>
      <name val="Times New Roman"/>
      <family val="0"/>
      <charset val="1"/>
    </font>
    <font>
      <i val="true"/>
      <sz val="9"/>
      <color rgb="FF666666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111111"/>
        <bgColor rgb="FF00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2"/>
  </cols>
  <sheetData>
    <row r="2" customFormat="false" ht="36" hidden="false" customHeight="true" outlineLevel="0" collapsed="false">
      <c r="B2" s="1" t="s">
        <v>0</v>
      </c>
    </row>
    <row r="3" customFormat="false" ht="19.5" hidden="false" customHeight="true" outlineLevel="0" collapsed="false">
      <c r="B3" s="2" t="s">
        <v>1</v>
      </c>
    </row>
    <row r="4" customFormat="false" ht="6" hidden="false" customHeight="true" outlineLevel="0" collapsed="false">
      <c r="B4" s="3"/>
      <c r="C4" s="3"/>
      <c r="D4" s="3"/>
    </row>
    <row r="6" customFormat="false" ht="18" hidden="false" customHeight="true" outlineLevel="0" collapsed="false">
      <c r="B6" s="4" t="s">
        <v>2</v>
      </c>
      <c r="C6" s="5" t="s">
        <v>3</v>
      </c>
    </row>
    <row r="7" customFormat="false" ht="18" hidden="false" customHeight="true" outlineLevel="0" collapsed="false">
      <c r="B7" s="4" t="s">
        <v>4</v>
      </c>
      <c r="C7" s="5" t="s">
        <v>5</v>
      </c>
    </row>
    <row r="8" customFormat="false" ht="18" hidden="false" customHeight="true" outlineLevel="0" collapsed="false">
      <c r="B8" s="4" t="s">
        <v>6</v>
      </c>
      <c r="C8" s="5" t="s">
        <v>7</v>
      </c>
    </row>
    <row r="9" customFormat="false" ht="18" hidden="false" customHeight="true" outlineLevel="0" collapsed="false">
      <c r="B9" s="4" t="s">
        <v>8</v>
      </c>
      <c r="C9" s="5" t="s">
        <v>9</v>
      </c>
    </row>
    <row r="10" customFormat="false" ht="18" hidden="false" customHeight="true" outlineLevel="0" collapsed="false">
      <c r="B10" s="4" t="s">
        <v>10</v>
      </c>
      <c r="C10" s="5" t="s">
        <v>11</v>
      </c>
    </row>
    <row r="13" customFormat="false" ht="21.75" hidden="false" customHeight="true" outlineLevel="0" collapsed="false">
      <c r="B13" s="6" t="s">
        <v>12</v>
      </c>
    </row>
    <row r="14" customFormat="false" ht="24" hidden="false" customHeight="true" outlineLevel="0" collapsed="false">
      <c r="B14" s="7" t="s">
        <v>13</v>
      </c>
      <c r="C14" s="7" t="s">
        <v>14</v>
      </c>
      <c r="D14" s="7" t="s">
        <v>15</v>
      </c>
    </row>
    <row r="15" customFormat="false" ht="18" hidden="false" customHeight="true" outlineLevel="0" collapsed="false">
      <c r="B15" s="8" t="s">
        <v>16</v>
      </c>
      <c r="C15" s="8" t="s">
        <v>17</v>
      </c>
      <c r="D15" s="8" t="s">
        <v>18</v>
      </c>
    </row>
    <row r="16" customFormat="false" ht="18" hidden="false" customHeight="true" outlineLevel="0" collapsed="false">
      <c r="B16" s="9" t="s">
        <v>19</v>
      </c>
      <c r="C16" s="9" t="s">
        <v>20</v>
      </c>
      <c r="D16" s="9" t="s">
        <v>21</v>
      </c>
    </row>
    <row r="17" customFormat="false" ht="18" hidden="false" customHeight="true" outlineLevel="0" collapsed="false">
      <c r="B17" s="8" t="s">
        <v>22</v>
      </c>
      <c r="C17" s="8" t="s">
        <v>23</v>
      </c>
      <c r="D17" s="8" t="s">
        <v>24</v>
      </c>
    </row>
    <row r="18" customFormat="false" ht="18" hidden="false" customHeight="true" outlineLevel="0" collapsed="false">
      <c r="B18" s="9" t="s">
        <v>25</v>
      </c>
      <c r="C18" s="9" t="s">
        <v>26</v>
      </c>
      <c r="D18" s="9" t="s">
        <v>27</v>
      </c>
    </row>
    <row r="19" customFormat="false" ht="18" hidden="false" customHeight="true" outlineLevel="0" collapsed="false">
      <c r="B19" s="8" t="s">
        <v>28</v>
      </c>
      <c r="C19" s="8" t="s">
        <v>29</v>
      </c>
      <c r="D19" s="10" t="s">
        <v>30</v>
      </c>
    </row>
    <row r="20" customFormat="false" ht="18" hidden="false" customHeight="true" outlineLevel="0" collapsed="false">
      <c r="B20" s="9" t="s">
        <v>31</v>
      </c>
      <c r="C20" s="9" t="s">
        <v>32</v>
      </c>
      <c r="D20" s="11" t="s">
        <v>33</v>
      </c>
    </row>
    <row r="21" customFormat="false" ht="18" hidden="false" customHeight="true" outlineLevel="0" collapsed="false">
      <c r="B21" s="8" t="s">
        <v>34</v>
      </c>
      <c r="C21" s="8" t="s">
        <v>35</v>
      </c>
      <c r="D21" s="8" t="s">
        <v>36</v>
      </c>
    </row>
    <row r="22" customFormat="false" ht="18" hidden="false" customHeight="true" outlineLevel="0" collapsed="false">
      <c r="B22" s="9" t="s">
        <v>37</v>
      </c>
      <c r="C22" s="9" t="s">
        <v>38</v>
      </c>
      <c r="D22" s="9" t="s">
        <v>39</v>
      </c>
    </row>
    <row r="23" customFormat="false" ht="18" hidden="false" customHeight="true" outlineLevel="0" collapsed="false">
      <c r="B23" s="8" t="s">
        <v>40</v>
      </c>
      <c r="C23" s="8" t="s">
        <v>41</v>
      </c>
      <c r="D23" s="8" t="s">
        <v>42</v>
      </c>
    </row>
    <row r="24" customFormat="false" ht="18" hidden="false" customHeight="true" outlineLevel="0" collapsed="false">
      <c r="B24" s="9" t="s">
        <v>43</v>
      </c>
      <c r="C24" s="9" t="s">
        <v>44</v>
      </c>
      <c r="D24" s="9" t="s">
        <v>45</v>
      </c>
    </row>
    <row r="25" customFormat="false" ht="18" hidden="false" customHeight="true" outlineLevel="0" collapsed="false">
      <c r="B25" s="8" t="s">
        <v>46</v>
      </c>
      <c r="C25" s="8" t="s">
        <v>47</v>
      </c>
      <c r="D25" s="8" t="s">
        <v>48</v>
      </c>
    </row>
    <row r="26" customFormat="false" ht="18" hidden="false" customHeight="true" outlineLevel="0" collapsed="false">
      <c r="B26" s="9" t="s">
        <v>49</v>
      </c>
      <c r="C26" s="9" t="s">
        <v>50</v>
      </c>
      <c r="D26" s="9" t="s">
        <v>51</v>
      </c>
    </row>
    <row r="27" customFormat="false" ht="18" hidden="false" customHeight="true" outlineLevel="0" collapsed="false">
      <c r="B27" s="8" t="s">
        <v>52</v>
      </c>
      <c r="C27" s="8" t="s">
        <v>53</v>
      </c>
      <c r="D27" s="8" t="s">
        <v>54</v>
      </c>
    </row>
    <row r="28" customFormat="false" ht="18" hidden="false" customHeight="true" outlineLevel="0" collapsed="false">
      <c r="B28" s="9" t="s">
        <v>55</v>
      </c>
      <c r="C28" s="9" t="s">
        <v>56</v>
      </c>
      <c r="D28" s="9" t="s">
        <v>57</v>
      </c>
    </row>
    <row r="29" customFormat="false" ht="18" hidden="false" customHeight="true" outlineLevel="0" collapsed="false">
      <c r="B29" s="8" t="s">
        <v>58</v>
      </c>
      <c r="C29" s="8" t="s">
        <v>59</v>
      </c>
      <c r="D29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26"/>
  </cols>
  <sheetData>
    <row r="2" customFormat="false" ht="24" hidden="false" customHeight="true" outlineLevel="0" collapsed="false">
      <c r="B2" s="7" t="s">
        <v>61</v>
      </c>
      <c r="C2" s="7" t="s">
        <v>15</v>
      </c>
      <c r="D2" s="7" t="s">
        <v>62</v>
      </c>
      <c r="E2" s="7" t="s">
        <v>63</v>
      </c>
      <c r="F2" s="7" t="s">
        <v>64</v>
      </c>
      <c r="G2" s="7" t="s">
        <v>65</v>
      </c>
      <c r="H2" s="7" t="s">
        <v>66</v>
      </c>
    </row>
    <row r="3" customFormat="false" ht="18" hidden="false" customHeight="true" outlineLevel="0" collapsed="false">
      <c r="B3" s="12" t="s">
        <v>67</v>
      </c>
      <c r="C3" s="8" t="s">
        <v>68</v>
      </c>
      <c r="D3" s="8" t="s">
        <v>69</v>
      </c>
      <c r="E3" s="13" t="n">
        <v>142.5</v>
      </c>
      <c r="F3" s="14" t="n">
        <f aca="false">E3/MAX($E$3:$E$12)</f>
        <v>0.662790697674419</v>
      </c>
      <c r="G3" s="8" t="s">
        <v>70</v>
      </c>
      <c r="H3" s="8" t="s">
        <v>71</v>
      </c>
    </row>
    <row r="4" customFormat="false" ht="18" hidden="false" customHeight="true" outlineLevel="0" collapsed="false">
      <c r="B4" s="15" t="s">
        <v>72</v>
      </c>
      <c r="C4" s="9" t="s">
        <v>73</v>
      </c>
      <c r="D4" s="9" t="s">
        <v>74</v>
      </c>
      <c r="E4" s="16" t="n">
        <v>98.3</v>
      </c>
      <c r="F4" s="17" t="n">
        <f aca="false">E4/MAX($E$3:$E$12)</f>
        <v>0.457209302325581</v>
      </c>
      <c r="G4" s="9" t="s">
        <v>70</v>
      </c>
      <c r="H4" s="9"/>
    </row>
    <row r="5" customFormat="false" ht="18" hidden="false" customHeight="true" outlineLevel="0" collapsed="false">
      <c r="B5" s="12" t="s">
        <v>75</v>
      </c>
      <c r="C5" s="8" t="s">
        <v>76</v>
      </c>
      <c r="D5" s="8" t="s">
        <v>69</v>
      </c>
      <c r="E5" s="13" t="n">
        <v>215</v>
      </c>
      <c r="F5" s="14" t="n">
        <f aca="false">E5/MAX($E$3:$E$12)</f>
        <v>1</v>
      </c>
      <c r="G5" s="8" t="s">
        <v>77</v>
      </c>
      <c r="H5" s="8" t="s">
        <v>78</v>
      </c>
    </row>
    <row r="6" customFormat="false" ht="18" hidden="false" customHeight="true" outlineLevel="0" collapsed="false">
      <c r="B6" s="15" t="s">
        <v>79</v>
      </c>
      <c r="C6" s="9" t="s">
        <v>80</v>
      </c>
      <c r="D6" s="9" t="s">
        <v>81</v>
      </c>
      <c r="E6" s="16" t="n">
        <v>67.8</v>
      </c>
      <c r="F6" s="17" t="n">
        <f aca="false">E6/MAX($E$3:$E$12)</f>
        <v>0.315348837209302</v>
      </c>
      <c r="G6" s="9" t="s">
        <v>70</v>
      </c>
      <c r="H6" s="9"/>
    </row>
    <row r="7" customFormat="false" ht="18" hidden="false" customHeight="true" outlineLevel="0" collapsed="false">
      <c r="B7" s="12" t="s">
        <v>82</v>
      </c>
      <c r="C7" s="8" t="s">
        <v>83</v>
      </c>
      <c r="D7" s="8" t="s">
        <v>74</v>
      </c>
      <c r="E7" s="13" t="n">
        <v>189.4</v>
      </c>
      <c r="F7" s="14" t="n">
        <f aca="false">E7/MAX($E$3:$E$12)</f>
        <v>0.88093023255814</v>
      </c>
      <c r="G7" s="8" t="s">
        <v>70</v>
      </c>
      <c r="H7" s="8" t="s">
        <v>84</v>
      </c>
    </row>
    <row r="8" customFormat="false" ht="18" hidden="false" customHeight="true" outlineLevel="0" collapsed="false">
      <c r="B8" s="15" t="s">
        <v>85</v>
      </c>
      <c r="C8" s="9" t="s">
        <v>86</v>
      </c>
      <c r="D8" s="9" t="s">
        <v>69</v>
      </c>
      <c r="E8" s="16" t="n">
        <v>133.2</v>
      </c>
      <c r="F8" s="17" t="n">
        <f aca="false">E8/MAX($E$3:$E$12)</f>
        <v>0.61953488372093</v>
      </c>
      <c r="G8" s="9" t="s">
        <v>87</v>
      </c>
      <c r="H8" s="9" t="s">
        <v>88</v>
      </c>
    </row>
    <row r="9" customFormat="false" ht="18" hidden="false" customHeight="true" outlineLevel="0" collapsed="false">
      <c r="B9" s="12" t="s">
        <v>89</v>
      </c>
      <c r="C9" s="8" t="s">
        <v>90</v>
      </c>
      <c r="D9" s="8" t="s">
        <v>81</v>
      </c>
      <c r="E9" s="13" t="n">
        <v>77.6</v>
      </c>
      <c r="F9" s="14" t="n">
        <f aca="false">E9/MAX($E$3:$E$12)</f>
        <v>0.36093023255814</v>
      </c>
      <c r="G9" s="8" t="s">
        <v>70</v>
      </c>
      <c r="H9" s="8"/>
    </row>
    <row r="10" customFormat="false" ht="18" hidden="false" customHeight="true" outlineLevel="0" collapsed="false">
      <c r="B10" s="15" t="s">
        <v>91</v>
      </c>
      <c r="C10" s="9" t="s">
        <v>92</v>
      </c>
      <c r="D10" s="9" t="s">
        <v>69</v>
      </c>
      <c r="E10" s="16" t="n">
        <v>201.1</v>
      </c>
      <c r="F10" s="17" t="n">
        <f aca="false">E10/MAX($E$3:$E$12)</f>
        <v>0.935348837209302</v>
      </c>
      <c r="G10" s="9" t="s">
        <v>70</v>
      </c>
      <c r="H10" s="9"/>
    </row>
    <row r="11" customFormat="false" ht="18" hidden="false" customHeight="true" outlineLevel="0" collapsed="false">
      <c r="B11" s="12" t="s">
        <v>93</v>
      </c>
      <c r="C11" s="8" t="s">
        <v>94</v>
      </c>
      <c r="D11" s="8" t="s">
        <v>74</v>
      </c>
      <c r="E11" s="13" t="n">
        <v>55.9</v>
      </c>
      <c r="F11" s="14" t="n">
        <f aca="false">E11/MAX($E$3:$E$12)</f>
        <v>0.26</v>
      </c>
      <c r="G11" s="8" t="s">
        <v>77</v>
      </c>
      <c r="H11" s="8" t="s">
        <v>95</v>
      </c>
    </row>
    <row r="12" customFormat="false" ht="18" hidden="false" customHeight="true" outlineLevel="0" collapsed="false">
      <c r="B12" s="15" t="s">
        <v>96</v>
      </c>
      <c r="C12" s="9" t="s">
        <v>97</v>
      </c>
      <c r="D12" s="9" t="s">
        <v>81</v>
      </c>
      <c r="E12" s="16" t="n">
        <v>178.3</v>
      </c>
      <c r="F12" s="17" t="n">
        <f aca="false">E12/MAX($E$3:$E$12)</f>
        <v>0.829302325581395</v>
      </c>
      <c r="G12" s="9" t="s">
        <v>70</v>
      </c>
      <c r="H12" s="9"/>
    </row>
    <row r="14" customFormat="false" ht="19.5" hidden="false" customHeight="true" outlineLevel="0" collapsed="false">
      <c r="B14" s="18"/>
      <c r="C14" s="18" t="s">
        <v>98</v>
      </c>
      <c r="D14" s="18"/>
      <c r="E14" s="19" t="n">
        <f aca="false">SUM(E3:E12)</f>
        <v>1359.1</v>
      </c>
      <c r="F14" s="18"/>
      <c r="G14" s="18"/>
      <c r="H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</cols>
  <sheetData>
    <row r="2" customFormat="false" ht="21.75" hidden="false" customHeight="true" outlineLevel="0" collapsed="false">
      <c r="B2" s="20" t="s">
        <v>99</v>
      </c>
    </row>
    <row r="4" customFormat="false" ht="18" hidden="false" customHeight="true" outlineLevel="0" collapsed="false">
      <c r="B4" s="21" t="s">
        <v>100</v>
      </c>
      <c r="C4" s="21"/>
      <c r="D4" s="21"/>
      <c r="E4" s="21"/>
      <c r="F4" s="21"/>
    </row>
    <row r="5" customFormat="false" ht="18" hidden="false" customHeight="true" outlineLevel="0" collapsed="false">
      <c r="B5" s="22" t="s">
        <v>101</v>
      </c>
      <c r="C5" s="23" t="n">
        <v>0.05</v>
      </c>
    </row>
    <row r="6" customFormat="false" ht="18" hidden="false" customHeight="true" outlineLevel="0" collapsed="false">
      <c r="B6" s="22" t="s">
        <v>102</v>
      </c>
      <c r="C6" s="24" t="n">
        <v>10000</v>
      </c>
    </row>
    <row r="7" customFormat="false" ht="18" hidden="false" customHeight="true" outlineLevel="0" collapsed="false">
      <c r="B7" s="22" t="s">
        <v>103</v>
      </c>
      <c r="C7" s="24" t="n">
        <v>10</v>
      </c>
    </row>
    <row r="8" customFormat="false" ht="18" hidden="false" customHeight="true" outlineLevel="0" collapsed="false">
      <c r="B8" s="22" t="s">
        <v>104</v>
      </c>
      <c r="C8" s="23" t="n">
        <v>0.08</v>
      </c>
    </row>
    <row r="10" customFormat="false" ht="18" hidden="false" customHeight="true" outlineLevel="0" collapsed="false">
      <c r="B10" s="25" t="s">
        <v>105</v>
      </c>
      <c r="C10" s="25"/>
      <c r="D10" s="25"/>
      <c r="E10" s="25"/>
      <c r="F10" s="25"/>
    </row>
    <row r="11" customFormat="false" ht="24" hidden="false" customHeight="true" outlineLevel="0" collapsed="false">
      <c r="B11" s="7" t="s">
        <v>106</v>
      </c>
      <c r="C11" s="7" t="s">
        <v>14</v>
      </c>
      <c r="D11" s="7" t="s">
        <v>107</v>
      </c>
      <c r="E11" s="7" t="s">
        <v>108</v>
      </c>
      <c r="F11" s="7" t="s">
        <v>109</v>
      </c>
    </row>
    <row r="12" customFormat="false" ht="18" hidden="false" customHeight="true" outlineLevel="0" collapsed="false">
      <c r="B12" s="26" t="n">
        <v>1</v>
      </c>
      <c r="C12" s="27" t="n">
        <f aca="false">C6*(1+C5)^B12</f>
        <v>10500</v>
      </c>
      <c r="D12" s="27" t="n">
        <f aca="false">0</f>
        <v>0</v>
      </c>
      <c r="E12" s="27" t="n">
        <f aca="false">C12/((1+C8)^B12)</f>
        <v>9722.22222222222</v>
      </c>
      <c r="F12" s="27" t="n">
        <f aca="false">E12</f>
        <v>9722.22222222222</v>
      </c>
    </row>
    <row r="13" customFormat="false" ht="18" hidden="false" customHeight="true" outlineLevel="0" collapsed="false">
      <c r="B13" s="28" t="n">
        <v>2</v>
      </c>
      <c r="C13" s="29" t="n">
        <f aca="false">C6*(1+C5)^B13</f>
        <v>11025</v>
      </c>
      <c r="D13" s="29" t="n">
        <f aca="false">C13-C12</f>
        <v>525</v>
      </c>
      <c r="E13" s="29" t="n">
        <f aca="false">C13/((1+C8)^B13)</f>
        <v>9452.16049382716</v>
      </c>
      <c r="F13" s="29" t="n">
        <f aca="false">E13+F12</f>
        <v>19174.3827160494</v>
      </c>
    </row>
    <row r="14" customFormat="false" ht="18" hidden="false" customHeight="true" outlineLevel="0" collapsed="false">
      <c r="B14" s="26" t="n">
        <v>3</v>
      </c>
      <c r="C14" s="27" t="n">
        <f aca="false">C6*(1+C5)^B14</f>
        <v>11576.25</v>
      </c>
      <c r="D14" s="27" t="n">
        <f aca="false">C14-C13</f>
        <v>551.250000000002</v>
      </c>
      <c r="E14" s="27" t="n">
        <f aca="false">C14/((1+C8)^B14)</f>
        <v>9189.60048010974</v>
      </c>
      <c r="F14" s="27" t="n">
        <f aca="false">E14+F13</f>
        <v>28363.9831961591</v>
      </c>
    </row>
    <row r="15" customFormat="false" ht="18" hidden="false" customHeight="true" outlineLevel="0" collapsed="false">
      <c r="B15" s="28" t="n">
        <v>4</v>
      </c>
      <c r="C15" s="29" t="n">
        <f aca="false">C6*(1+C5)^B15</f>
        <v>12155.0625</v>
      </c>
      <c r="D15" s="29" t="n">
        <f aca="false">C15-C14</f>
        <v>578.8125</v>
      </c>
      <c r="E15" s="29" t="n">
        <f aca="false">C15/((1+C8)^B15)</f>
        <v>8934.33380010669</v>
      </c>
      <c r="F15" s="29" t="n">
        <f aca="false">E15+F14</f>
        <v>37298.3169962658</v>
      </c>
    </row>
    <row r="16" customFormat="false" ht="18" hidden="false" customHeight="true" outlineLevel="0" collapsed="false">
      <c r="B16" s="26" t="n">
        <v>5</v>
      </c>
      <c r="C16" s="27" t="n">
        <f aca="false">C6*(1+C5)^B16</f>
        <v>12762.815625</v>
      </c>
      <c r="D16" s="27" t="n">
        <f aca="false">C16-C15</f>
        <v>607.753125000001</v>
      </c>
      <c r="E16" s="27" t="n">
        <f aca="false">C16/((1+C8)^B16)</f>
        <v>8686.15786121484</v>
      </c>
      <c r="F16" s="27" t="n">
        <f aca="false">E16+F15</f>
        <v>45984.4748574806</v>
      </c>
    </row>
    <row r="17" customFormat="false" ht="18" hidden="false" customHeight="true" outlineLevel="0" collapsed="false">
      <c r="B17" s="28" t="n">
        <v>6</v>
      </c>
      <c r="C17" s="29" t="n">
        <f aca="false">C6*(1+C5)^B17</f>
        <v>13400.95640625</v>
      </c>
      <c r="D17" s="29" t="n">
        <f aca="false">C17-C16</f>
        <v>638.140781250002</v>
      </c>
      <c r="E17" s="29" t="n">
        <f aca="false">C17/((1+C8)^B17)</f>
        <v>8444.87569840332</v>
      </c>
      <c r="F17" s="29" t="n">
        <f aca="false">E17+F16</f>
        <v>54429.350555884</v>
      </c>
    </row>
    <row r="18" customFormat="false" ht="18" hidden="false" customHeight="true" outlineLevel="0" collapsed="false">
      <c r="B18" s="26" t="n">
        <v>7</v>
      </c>
      <c r="C18" s="27" t="n">
        <f aca="false">C6*(1+C5)^B18</f>
        <v>14071.0042265625</v>
      </c>
      <c r="D18" s="27" t="n">
        <f aca="false">C18-C17</f>
        <v>670.0478203125</v>
      </c>
      <c r="E18" s="27" t="n">
        <f aca="false">C18/((1+C8)^B18)</f>
        <v>8210.29581789211</v>
      </c>
      <c r="F18" s="27" t="n">
        <f aca="false">E18+F17</f>
        <v>62639.6463737761</v>
      </c>
    </row>
    <row r="19" customFormat="false" ht="18" hidden="false" customHeight="true" outlineLevel="0" collapsed="false">
      <c r="B19" s="28" t="n">
        <v>8</v>
      </c>
      <c r="C19" s="29" t="n">
        <f aca="false">C6*(1+C5)^B19</f>
        <v>14774.5544378906</v>
      </c>
      <c r="D19" s="29" t="n">
        <f aca="false">C19-C18</f>
        <v>703.550211328125</v>
      </c>
      <c r="E19" s="29" t="n">
        <f aca="false">C19/((1+C8)^B19)</f>
        <v>7982.23204517289</v>
      </c>
      <c r="F19" s="29" t="n">
        <f aca="false">E19+F18</f>
        <v>70621.878418949</v>
      </c>
    </row>
    <row r="20" customFormat="false" ht="18" hidden="false" customHeight="true" outlineLevel="0" collapsed="false">
      <c r="B20" s="26" t="n">
        <v>9</v>
      </c>
      <c r="C20" s="27" t="n">
        <f aca="false">C6*(1+C5)^B20</f>
        <v>15513.2821597852</v>
      </c>
      <c r="D20" s="27" t="n">
        <f aca="false">C20-C19</f>
        <v>738.727721894531</v>
      </c>
      <c r="E20" s="27" t="n">
        <f aca="false">C20/((1+C8)^B20)</f>
        <v>7760.50337725142</v>
      </c>
      <c r="F20" s="27" t="n">
        <f aca="false">E20+F19</f>
        <v>78382.3817962004</v>
      </c>
    </row>
    <row r="21" customFormat="false" ht="18" hidden="false" customHeight="true" outlineLevel="0" collapsed="false">
      <c r="B21" s="28" t="n">
        <v>10</v>
      </c>
      <c r="C21" s="29" t="n">
        <f aca="false">C6*(1+C5)^B21</f>
        <v>16288.9462677744</v>
      </c>
      <c r="D21" s="29" t="n">
        <f aca="false">C21-C20</f>
        <v>775.664107989258</v>
      </c>
      <c r="E21" s="29" t="n">
        <f aca="false">C21/((1+C8)^B21)</f>
        <v>7544.93383899443</v>
      </c>
      <c r="F21" s="29" t="n">
        <f aca="false">E21+F20</f>
        <v>85927.3156351948</v>
      </c>
    </row>
  </sheetData>
  <mergeCells count="2">
    <mergeCell ref="B4:F4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8"/>
  </cols>
  <sheetData>
    <row r="2" customFormat="false" ht="21.75" hidden="false" customHeight="true" outlineLevel="0" collapsed="false">
      <c r="B2" s="30" t="s">
        <v>110</v>
      </c>
    </row>
    <row r="3" customFormat="false" ht="13.5" hidden="false" customHeight="true" outlineLevel="0" collapsed="false">
      <c r="B3" s="31" t="s">
        <v>111</v>
      </c>
    </row>
    <row r="5" customFormat="false" ht="18" hidden="false" customHeight="true" outlineLevel="0" collapsed="false">
      <c r="B5" s="21" t="s">
        <v>112</v>
      </c>
      <c r="C5" s="21"/>
      <c r="D5" s="21"/>
    </row>
    <row r="6" customFormat="false" ht="24" hidden="false" customHeight="true" outlineLevel="0" collapsed="false">
      <c r="B6" s="7" t="s">
        <v>113</v>
      </c>
      <c r="C6" s="7" t="s">
        <v>114</v>
      </c>
      <c r="D6" s="7" t="s">
        <v>115</v>
      </c>
    </row>
    <row r="7" customFormat="false" ht="18" hidden="false" customHeight="true" outlineLevel="0" collapsed="false">
      <c r="B7" s="8" t="s">
        <v>116</v>
      </c>
      <c r="C7" s="10" t="s">
        <v>117</v>
      </c>
      <c r="D7" s="8" t="s">
        <v>118</v>
      </c>
    </row>
    <row r="8" customFormat="false" ht="18" hidden="false" customHeight="true" outlineLevel="0" collapsed="false">
      <c r="B8" s="9" t="s">
        <v>119</v>
      </c>
      <c r="C8" s="11" t="s">
        <v>120</v>
      </c>
      <c r="D8" s="9" t="s">
        <v>121</v>
      </c>
    </row>
    <row r="9" customFormat="false" ht="18" hidden="false" customHeight="true" outlineLevel="0" collapsed="false">
      <c r="B9" s="8" t="s">
        <v>122</v>
      </c>
      <c r="C9" s="8" t="s">
        <v>123</v>
      </c>
      <c r="D9" s="8" t="s">
        <v>124</v>
      </c>
    </row>
    <row r="10" customFormat="false" ht="18" hidden="false" customHeight="true" outlineLevel="0" collapsed="false">
      <c r="B10" s="9" t="s">
        <v>125</v>
      </c>
      <c r="C10" s="9" t="s">
        <v>126</v>
      </c>
      <c r="D10" s="9" t="s">
        <v>127</v>
      </c>
    </row>
    <row r="11" customFormat="false" ht="18" hidden="false" customHeight="true" outlineLevel="0" collapsed="false">
      <c r="B11" s="8" t="s">
        <v>128</v>
      </c>
      <c r="C11" s="8" t="s">
        <v>129</v>
      </c>
      <c r="D11" s="8" t="s">
        <v>130</v>
      </c>
    </row>
    <row r="13" customFormat="false" ht="18" hidden="false" customHeight="true" outlineLevel="0" collapsed="false">
      <c r="B13" s="21" t="s">
        <v>131</v>
      </c>
      <c r="C13" s="21"/>
      <c r="D13" s="21"/>
    </row>
    <row r="14" customFormat="false" ht="24" hidden="false" customHeight="true" outlineLevel="0" collapsed="false">
      <c r="B14" s="7" t="s">
        <v>132</v>
      </c>
      <c r="C14" s="7" t="s">
        <v>133</v>
      </c>
      <c r="D14" s="7" t="s">
        <v>15</v>
      </c>
    </row>
    <row r="15" customFormat="false" ht="18" hidden="false" customHeight="true" outlineLevel="0" collapsed="false">
      <c r="B15" s="12" t="s">
        <v>134</v>
      </c>
      <c r="C15" s="8" t="s">
        <v>135</v>
      </c>
      <c r="D15" s="8" t="s">
        <v>136</v>
      </c>
    </row>
    <row r="16" customFormat="false" ht="18" hidden="false" customHeight="true" outlineLevel="0" collapsed="false">
      <c r="B16" s="15" t="s">
        <v>137</v>
      </c>
      <c r="C16" s="9" t="s">
        <v>138</v>
      </c>
      <c r="D16" s="9" t="s">
        <v>139</v>
      </c>
    </row>
    <row r="17" customFormat="false" ht="18" hidden="false" customHeight="true" outlineLevel="0" collapsed="false">
      <c r="B17" s="12" t="s">
        <v>140</v>
      </c>
      <c r="C17" s="8" t="s">
        <v>141</v>
      </c>
      <c r="D17" s="8" t="s">
        <v>142</v>
      </c>
    </row>
    <row r="18" customFormat="false" ht="18" hidden="false" customHeight="true" outlineLevel="0" collapsed="false">
      <c r="B18" s="15" t="s">
        <v>143</v>
      </c>
      <c r="C18" s="9" t="s">
        <v>144</v>
      </c>
      <c r="D18" s="11" t="s">
        <v>145</v>
      </c>
    </row>
    <row r="19" customFormat="false" ht="18" hidden="false" customHeight="true" outlineLevel="0" collapsed="false">
      <c r="B19" s="12" t="s">
        <v>146</v>
      </c>
      <c r="C19" s="10" t="s">
        <v>147</v>
      </c>
      <c r="D19" s="8" t="s">
        <v>148</v>
      </c>
    </row>
    <row r="20" customFormat="false" ht="18" hidden="false" customHeight="true" outlineLevel="0" collapsed="false">
      <c r="B20" s="15" t="s">
        <v>149</v>
      </c>
      <c r="C20" s="9" t="s">
        <v>150</v>
      </c>
      <c r="D20" s="9" t="s">
        <v>151</v>
      </c>
    </row>
  </sheetData>
  <mergeCells count="2">
    <mergeCell ref="B5:D5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2026-03-07T06:20:44Z</dcterms:created>
  <dc:creator>openpyxl</dc:creator>
  <dc:description/>
  <dc:language>en-US</dc:language>
  <cp:lastModifiedBy/>
  <dcterms:modified xsi:type="dcterms:W3CDTF">2026-03-07T06:20:44Z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