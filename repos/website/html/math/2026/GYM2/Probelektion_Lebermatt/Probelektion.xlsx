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dreano/repos/website/html/math/2026/GYM2/Probelektion_Lebermatt/"/>
    </mc:Choice>
  </mc:AlternateContent>
  <xr:revisionPtr revIDLastSave="0" documentId="13_ncr:1_{C6CE563D-9A38-9E4D-918F-40853EF9D710}" xr6:coauthVersionLast="47" xr6:coauthVersionMax="47" xr10:uidLastSave="{00000000-0000-0000-0000-000000000000}"/>
  <bookViews>
    <workbookView xWindow="1000" yWindow="920" windowWidth="28240" windowHeight="17060" activeTab="2" xr2:uid="{43BEC53D-1FFC-A345-9F20-1E4211BA2A61}"/>
  </bookViews>
  <sheets>
    <sheet name="Tabelle1" sheetId="1" r:id="rId1"/>
    <sheet name="Wikipedia" sheetId="2" r:id="rId2"/>
    <sheet name="Scha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3" l="1"/>
  <c r="I41" i="3"/>
  <c r="I42" i="3"/>
  <c r="I43" i="3"/>
  <c r="I44" i="3"/>
  <c r="I45" i="3"/>
  <c r="I46" i="3"/>
  <c r="I39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2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2" i="3"/>
  <c r="B26" i="3"/>
  <c r="C26" i="3" s="1"/>
  <c r="E26" i="3"/>
  <c r="B27" i="3"/>
  <c r="C27" i="3"/>
  <c r="E27" i="3"/>
  <c r="B28" i="3"/>
  <c r="C28" i="3"/>
  <c r="E28" i="3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B29" i="3"/>
  <c r="B30" i="3" s="1"/>
  <c r="C29" i="3"/>
  <c r="E4" i="3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3" i="3"/>
  <c r="D3" i="2"/>
  <c r="D4" i="2"/>
  <c r="D5" i="2"/>
  <c r="D6" i="2"/>
  <c r="D7" i="2"/>
  <c r="D8" i="2"/>
  <c r="D9" i="2"/>
  <c r="B5" i="2"/>
  <c r="B6" i="2" s="1"/>
  <c r="B7" i="2" s="1"/>
  <c r="B8" i="2" s="1"/>
  <c r="B9" i="2" s="1"/>
  <c r="B4" i="2"/>
  <c r="C5" i="2"/>
  <c r="C6" i="2" s="1"/>
  <c r="C7" i="2" s="1"/>
  <c r="C8" i="2" s="1"/>
  <c r="C9" i="2" s="1"/>
  <c r="C4" i="2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B31" i="3" l="1"/>
  <c r="C30" i="3"/>
  <c r="C31" i="3" l="1"/>
  <c r="B32" i="3"/>
  <c r="C32" i="3" l="1"/>
  <c r="B33" i="3"/>
  <c r="C33" i="3" l="1"/>
  <c r="B34" i="3"/>
  <c r="B35" i="3" l="1"/>
  <c r="C34" i="3"/>
  <c r="C35" i="3" l="1"/>
  <c r="B36" i="3"/>
  <c r="B37" i="3" l="1"/>
  <c r="C36" i="3"/>
  <c r="C37" i="3" l="1"/>
  <c r="B38" i="3"/>
  <c r="C38" i="3" l="1"/>
  <c r="B39" i="3"/>
  <c r="B40" i="3" l="1"/>
  <c r="C39" i="3"/>
  <c r="B41" i="3" l="1"/>
  <c r="C40" i="3"/>
  <c r="B42" i="3" l="1"/>
  <c r="C41" i="3"/>
  <c r="C42" i="3" l="1"/>
  <c r="B43" i="3"/>
  <c r="B44" i="3" l="1"/>
  <c r="C43" i="3"/>
  <c r="C44" i="3" l="1"/>
  <c r="B45" i="3"/>
  <c r="C45" i="3" l="1"/>
  <c r="B46" i="3"/>
  <c r="C46" i="3" l="1"/>
  <c r="B47" i="3"/>
  <c r="B48" i="3" l="1"/>
  <c r="C47" i="3"/>
  <c r="C48" i="3" l="1"/>
  <c r="B49" i="3"/>
  <c r="B50" i="3" l="1"/>
  <c r="C49" i="3"/>
  <c r="C50" i="3" l="1"/>
  <c r="B51" i="3"/>
  <c r="B52" i="3" l="1"/>
  <c r="C51" i="3"/>
  <c r="B53" i="3" l="1"/>
  <c r="C52" i="3"/>
  <c r="C53" i="3" l="1"/>
  <c r="B54" i="3"/>
  <c r="C54" i="3" l="1"/>
  <c r="B55" i="3"/>
  <c r="C55" i="3" l="1"/>
  <c r="B56" i="3"/>
  <c r="C56" i="3" l="1"/>
  <c r="B57" i="3"/>
  <c r="C57" i="3" l="1"/>
  <c r="B58" i="3"/>
  <c r="B59" i="3" l="1"/>
  <c r="C58" i="3"/>
  <c r="C59" i="3" l="1"/>
  <c r="B60" i="3"/>
  <c r="B61" i="3" l="1"/>
  <c r="C60" i="3"/>
  <c r="B62" i="3" l="1"/>
  <c r="C61" i="3"/>
  <c r="C62" i="3" l="1"/>
  <c r="B63" i="3"/>
  <c r="B64" i="3" l="1"/>
  <c r="C63" i="3"/>
  <c r="B65" i="3" l="1"/>
  <c r="C64" i="3"/>
  <c r="C65" i="3" l="1"/>
</calcChain>
</file>

<file path=xl/sharedStrings.xml><?xml version="1.0" encoding="utf-8"?>
<sst xmlns="http://schemas.openxmlformats.org/spreadsheetml/2006/main" count="5" uniqueCount="5">
  <si>
    <t>Gold</t>
  </si>
  <si>
    <t>Reis (T)</t>
  </si>
  <si>
    <t>Reis (Anzahl)</t>
  </si>
  <si>
    <t>Reismenge (mg)</t>
  </si>
  <si>
    <t>Reismenge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</si>
</sst>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8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164" fontId="0" fillId="0" borderId="0" xfId="1" applyNumberFormat="1" applyFont="1"/>
    <xf numFmtId="11" fontId="0" fillId="0" borderId="0" xfId="0" applyNumberFormat="1"/>
    <xf numFmtId="9" fontId="0" fillId="0" borderId="0" xfId="0" applyNumberFormat="1"/>
    <xf numFmtId="0" fontId="0" fillId="0" borderId="0" xfId="1" applyNumberFormat="1" applyFont="1"/>
    <xf numFmtId="164" fontId="0" fillId="0" borderId="0" xfId="0" applyNumberFormat="1"/>
    <xf numFmtId="0" fontId="2" fillId="0" borderId="0" xfId="0" applyFont="1"/>
    <xf numFmtId="164" fontId="2" fillId="0" borderId="0" xfId="1" applyNumberFormat="1" applyFont="1" applyFill="1"/>
    <xf numFmtId="164" fontId="2" fillId="0" borderId="0" xfId="0" applyNumberFormat="1" applyFont="1"/>
    <xf numFmtId="0" fontId="2" fillId="0" borderId="0" xfId="1" applyNumberFormat="1" applyFont="1" applyFill="1"/>
    <xf numFmtId="0" fontId="3" fillId="0" borderId="0" xfId="0" applyFont="1"/>
    <xf numFmtId="164" fontId="3" fillId="0" borderId="0" xfId="1" applyNumberFormat="1" applyFont="1" applyFill="1"/>
    <xf numFmtId="0" fontId="3" fillId="0" borderId="0" xfId="1" applyNumberFormat="1" applyFont="1" applyFill="1"/>
    <xf numFmtId="164" fontId="3" fillId="0" borderId="0" xfId="0" applyNumberFormat="1" applyFont="1"/>
    <xf numFmtId="165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D9BC-1891-1B45-B923-39E0151EC6FF}">
  <dimension ref="A1:BM15"/>
  <sheetViews>
    <sheetView topLeftCell="M3" zoomScale="119" workbookViewId="0">
      <selection activeCell="A15" sqref="A15"/>
    </sheetView>
  </sheetViews>
  <sheetFormatPr baseColWidth="10" defaultRowHeight="16" x14ac:dyDescent="0.2"/>
  <cols>
    <col min="2" max="2" width="12.5" bestFit="1" customWidth="1"/>
    <col min="3" max="3" width="11.1640625" bestFit="1" customWidth="1"/>
    <col min="4" max="4" width="14.5" bestFit="1" customWidth="1"/>
    <col min="5" max="10" width="10" bestFit="1" customWidth="1"/>
    <col min="12" max="12" width="11" bestFit="1" customWidth="1"/>
    <col min="37" max="42" width="12" bestFit="1" customWidth="1"/>
  </cols>
  <sheetData>
    <row r="1" spans="1:65" x14ac:dyDescent="0.2">
      <c r="B1">
        <v>25</v>
      </c>
      <c r="C1">
        <v>26</v>
      </c>
      <c r="D1">
        <v>27</v>
      </c>
      <c r="E1">
        <v>28</v>
      </c>
      <c r="F1">
        <v>29</v>
      </c>
      <c r="G1">
        <v>30</v>
      </c>
      <c r="H1">
        <v>31</v>
      </c>
      <c r="I1">
        <v>32</v>
      </c>
      <c r="J1">
        <v>33</v>
      </c>
      <c r="K1">
        <v>34</v>
      </c>
      <c r="L1">
        <v>35</v>
      </c>
      <c r="M1">
        <v>36</v>
      </c>
      <c r="N1">
        <v>37</v>
      </c>
      <c r="O1">
        <v>38</v>
      </c>
      <c r="P1">
        <v>39</v>
      </c>
      <c r="Q1">
        <v>40</v>
      </c>
      <c r="R1">
        <v>41</v>
      </c>
      <c r="S1">
        <v>42</v>
      </c>
      <c r="T1">
        <v>43</v>
      </c>
      <c r="U1">
        <v>44</v>
      </c>
      <c r="V1">
        <v>45</v>
      </c>
      <c r="W1">
        <v>46</v>
      </c>
      <c r="X1">
        <v>47</v>
      </c>
      <c r="Y1">
        <v>48</v>
      </c>
      <c r="Z1">
        <v>49</v>
      </c>
      <c r="AA1">
        <v>50</v>
      </c>
      <c r="AB1">
        <v>51</v>
      </c>
      <c r="AC1">
        <v>52</v>
      </c>
      <c r="AD1">
        <v>53</v>
      </c>
      <c r="AE1">
        <v>54</v>
      </c>
      <c r="AF1">
        <v>55</v>
      </c>
      <c r="AG1">
        <v>56</v>
      </c>
      <c r="AH1">
        <v>57</v>
      </c>
      <c r="AI1">
        <v>58</v>
      </c>
      <c r="AJ1">
        <v>59</v>
      </c>
      <c r="AK1">
        <v>60</v>
      </c>
      <c r="AL1">
        <v>61</v>
      </c>
      <c r="AM1">
        <v>62</v>
      </c>
      <c r="AN1">
        <v>63</v>
      </c>
      <c r="AO1">
        <v>64</v>
      </c>
      <c r="AP1">
        <v>65</v>
      </c>
    </row>
    <row r="2" spans="1:65" x14ac:dyDescent="0.2">
      <c r="B2" s="2">
        <v>200000</v>
      </c>
      <c r="C2" s="2">
        <f>B2+200000</f>
        <v>400000</v>
      </c>
      <c r="D2" s="2">
        <f t="shared" ref="D2:J2" si="0">C2+200000</f>
        <v>600000</v>
      </c>
      <c r="E2" s="2">
        <f t="shared" si="0"/>
        <v>800000</v>
      </c>
      <c r="F2" s="2">
        <f t="shared" si="0"/>
        <v>1000000</v>
      </c>
      <c r="G2" s="2">
        <f t="shared" si="0"/>
        <v>1200000</v>
      </c>
      <c r="H2" s="2">
        <f t="shared" si="0"/>
        <v>1400000</v>
      </c>
      <c r="I2" s="2">
        <f t="shared" si="0"/>
        <v>1600000</v>
      </c>
      <c r="J2" s="2">
        <f t="shared" si="0"/>
        <v>1800000</v>
      </c>
      <c r="K2" s="2">
        <f t="shared" ref="K2:AB2" si="1">J2+200000</f>
        <v>2000000</v>
      </c>
      <c r="L2" s="2">
        <f t="shared" si="1"/>
        <v>2200000</v>
      </c>
      <c r="M2" s="2">
        <f t="shared" si="1"/>
        <v>2400000</v>
      </c>
      <c r="N2" s="2">
        <f t="shared" si="1"/>
        <v>2600000</v>
      </c>
      <c r="O2" s="2">
        <f t="shared" si="1"/>
        <v>2800000</v>
      </c>
      <c r="P2" s="2">
        <f t="shared" si="1"/>
        <v>3000000</v>
      </c>
      <c r="Q2" s="2">
        <f t="shared" si="1"/>
        <v>3200000</v>
      </c>
      <c r="R2" s="2">
        <f t="shared" si="1"/>
        <v>3400000</v>
      </c>
      <c r="S2" s="2">
        <f t="shared" si="1"/>
        <v>3600000</v>
      </c>
      <c r="T2" s="2">
        <f t="shared" si="1"/>
        <v>3800000</v>
      </c>
      <c r="U2" s="2">
        <f t="shared" si="1"/>
        <v>4000000</v>
      </c>
      <c r="V2" s="2">
        <f t="shared" si="1"/>
        <v>4200000</v>
      </c>
      <c r="W2" s="2">
        <f t="shared" si="1"/>
        <v>4400000</v>
      </c>
      <c r="X2" s="2">
        <f t="shared" si="1"/>
        <v>4600000</v>
      </c>
      <c r="Y2" s="2">
        <f t="shared" si="1"/>
        <v>4800000</v>
      </c>
      <c r="Z2" s="2">
        <f t="shared" si="1"/>
        <v>5000000</v>
      </c>
      <c r="AA2" s="2">
        <f t="shared" si="1"/>
        <v>5200000</v>
      </c>
      <c r="AB2" s="2">
        <f t="shared" si="1"/>
        <v>5400000</v>
      </c>
      <c r="AC2" s="2">
        <f t="shared" ref="AC2:AP2" si="2">AB2+200000</f>
        <v>5600000</v>
      </c>
      <c r="AD2" s="2">
        <f t="shared" si="2"/>
        <v>5800000</v>
      </c>
      <c r="AE2" s="2">
        <f t="shared" si="2"/>
        <v>6000000</v>
      </c>
      <c r="AF2" s="2">
        <f t="shared" si="2"/>
        <v>6200000</v>
      </c>
      <c r="AG2" s="2">
        <f t="shared" si="2"/>
        <v>6400000</v>
      </c>
      <c r="AH2" s="2">
        <f t="shared" si="2"/>
        <v>6600000</v>
      </c>
      <c r="AI2" s="2">
        <f t="shared" si="2"/>
        <v>6800000</v>
      </c>
      <c r="AJ2" s="2">
        <f t="shared" si="2"/>
        <v>7000000</v>
      </c>
      <c r="AK2" s="2">
        <f t="shared" si="2"/>
        <v>7200000</v>
      </c>
      <c r="AL2" s="2">
        <f t="shared" si="2"/>
        <v>7400000</v>
      </c>
      <c r="AM2" s="2">
        <f t="shared" si="2"/>
        <v>7600000</v>
      </c>
      <c r="AN2" s="2">
        <f t="shared" si="2"/>
        <v>7800000</v>
      </c>
      <c r="AO2" s="2">
        <f t="shared" si="2"/>
        <v>8000000</v>
      </c>
      <c r="AP2" s="2">
        <f t="shared" si="2"/>
        <v>8200000</v>
      </c>
      <c r="AQ2" s="2"/>
    </row>
    <row r="3" spans="1:65" x14ac:dyDescent="0.2">
      <c r="B3" s="2">
        <v>200000</v>
      </c>
      <c r="C3" s="2">
        <f>B3*1.2</f>
        <v>240000</v>
      </c>
      <c r="D3" s="2">
        <f t="shared" ref="D3:J3" si="3">C3*1.2</f>
        <v>288000</v>
      </c>
      <c r="E3" s="2">
        <f t="shared" si="3"/>
        <v>345600</v>
      </c>
      <c r="F3" s="2">
        <f t="shared" si="3"/>
        <v>414720</v>
      </c>
      <c r="G3" s="2">
        <f t="shared" si="3"/>
        <v>497664</v>
      </c>
      <c r="H3" s="2">
        <f t="shared" si="3"/>
        <v>597196.79999999993</v>
      </c>
      <c r="I3" s="2">
        <f t="shared" si="3"/>
        <v>716636.15999999992</v>
      </c>
      <c r="J3" s="2">
        <f t="shared" si="3"/>
        <v>859963.39199999988</v>
      </c>
      <c r="K3" s="2">
        <f t="shared" ref="K3:AB3" si="4">J3*1.2</f>
        <v>1031956.0703999999</v>
      </c>
      <c r="L3" s="2">
        <f t="shared" si="4"/>
        <v>1238347.2844799997</v>
      </c>
      <c r="M3" s="2">
        <f t="shared" si="4"/>
        <v>1486016.7413759995</v>
      </c>
      <c r="N3" s="2">
        <f t="shared" si="4"/>
        <v>1783220.0896511993</v>
      </c>
      <c r="O3" s="2">
        <f t="shared" si="4"/>
        <v>2139864.107581439</v>
      </c>
      <c r="P3" s="2">
        <f t="shared" si="4"/>
        <v>2567836.9290977265</v>
      </c>
      <c r="Q3" s="2">
        <f t="shared" si="4"/>
        <v>3081404.3149172715</v>
      </c>
      <c r="R3" s="2">
        <f t="shared" si="4"/>
        <v>3697685.1779007255</v>
      </c>
      <c r="S3" s="2">
        <f t="shared" si="4"/>
        <v>4437222.2134808702</v>
      </c>
      <c r="T3" s="2">
        <f t="shared" si="4"/>
        <v>5324666.6561770439</v>
      </c>
      <c r="U3" s="2">
        <f t="shared" si="4"/>
        <v>6389599.9874124527</v>
      </c>
      <c r="V3" s="2">
        <f t="shared" si="4"/>
        <v>7667519.9848949425</v>
      </c>
      <c r="W3" s="2">
        <f t="shared" si="4"/>
        <v>9201023.9818739314</v>
      </c>
      <c r="X3" s="2">
        <f t="shared" si="4"/>
        <v>11041228.778248718</v>
      </c>
      <c r="Y3" s="2">
        <f t="shared" si="4"/>
        <v>13249474.533898462</v>
      </c>
      <c r="Z3" s="2">
        <f t="shared" si="4"/>
        <v>15899369.440678153</v>
      </c>
      <c r="AA3" s="2">
        <f t="shared" si="4"/>
        <v>19079243.328813784</v>
      </c>
      <c r="AB3" s="2">
        <f t="shared" si="4"/>
        <v>22895091.99457654</v>
      </c>
      <c r="AC3" s="2">
        <f t="shared" ref="AC3:AP3" si="5">AB3*1.2</f>
        <v>27474110.393491846</v>
      </c>
      <c r="AD3" s="2">
        <f t="shared" si="5"/>
        <v>32968932.472190212</v>
      </c>
      <c r="AE3" s="2">
        <f t="shared" si="5"/>
        <v>39562718.966628253</v>
      </c>
      <c r="AF3" s="2">
        <f t="shared" si="5"/>
        <v>47475262.759953901</v>
      </c>
      <c r="AG3" s="2">
        <f t="shared" si="5"/>
        <v>56970315.311944678</v>
      </c>
      <c r="AH3" s="2">
        <f t="shared" si="5"/>
        <v>68364378.374333605</v>
      </c>
      <c r="AI3" s="2">
        <f t="shared" si="5"/>
        <v>82037254.049200326</v>
      </c>
      <c r="AJ3" s="2">
        <f t="shared" si="5"/>
        <v>98444704.859040394</v>
      </c>
      <c r="AK3" s="2">
        <f t="shared" si="5"/>
        <v>118133645.83084847</v>
      </c>
      <c r="AL3" s="2">
        <f t="shared" si="5"/>
        <v>141760374.99701816</v>
      </c>
      <c r="AM3" s="2">
        <f t="shared" si="5"/>
        <v>170112449.99642178</v>
      </c>
      <c r="AN3" s="2">
        <f t="shared" si="5"/>
        <v>204134939.99570614</v>
      </c>
      <c r="AO3" s="2">
        <f t="shared" si="5"/>
        <v>244961927.99484736</v>
      </c>
      <c r="AP3" s="2">
        <f t="shared" si="5"/>
        <v>293954313.59381682</v>
      </c>
      <c r="AQ3" s="2"/>
    </row>
    <row r="7" spans="1:65" x14ac:dyDescent="0.2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</row>
    <row r="8" spans="1:65" x14ac:dyDescent="0.2">
      <c r="B8">
        <v>120000000</v>
      </c>
      <c r="C8" s="3">
        <f>B8+120000000</f>
        <v>240000000</v>
      </c>
      <c r="D8" s="3">
        <f t="shared" ref="D8:BM8" si="6">C8+120000000</f>
        <v>360000000</v>
      </c>
      <c r="E8" s="3">
        <f t="shared" si="6"/>
        <v>480000000</v>
      </c>
      <c r="F8" s="3">
        <f t="shared" si="6"/>
        <v>600000000</v>
      </c>
      <c r="G8" s="3">
        <f t="shared" si="6"/>
        <v>720000000</v>
      </c>
      <c r="H8" s="3">
        <f t="shared" si="6"/>
        <v>840000000</v>
      </c>
      <c r="I8" s="3">
        <f t="shared" si="6"/>
        <v>960000000</v>
      </c>
      <c r="J8" s="3">
        <f t="shared" si="6"/>
        <v>1080000000</v>
      </c>
      <c r="K8" s="3">
        <f t="shared" si="6"/>
        <v>1200000000</v>
      </c>
      <c r="L8" s="3">
        <f t="shared" si="6"/>
        <v>1320000000</v>
      </c>
      <c r="M8" s="3">
        <f t="shared" si="6"/>
        <v>1440000000</v>
      </c>
      <c r="N8" s="3">
        <f t="shared" si="6"/>
        <v>1560000000</v>
      </c>
      <c r="O8" s="3">
        <f t="shared" si="6"/>
        <v>1680000000</v>
      </c>
      <c r="P8" s="3">
        <f t="shared" si="6"/>
        <v>1800000000</v>
      </c>
      <c r="Q8" s="3">
        <f t="shared" si="6"/>
        <v>1920000000</v>
      </c>
      <c r="R8" s="3">
        <f t="shared" si="6"/>
        <v>2040000000</v>
      </c>
      <c r="S8" s="3">
        <f t="shared" si="6"/>
        <v>2160000000</v>
      </c>
      <c r="T8" s="3">
        <f t="shared" si="6"/>
        <v>2280000000</v>
      </c>
      <c r="U8" s="3">
        <f t="shared" si="6"/>
        <v>2400000000</v>
      </c>
      <c r="V8" s="3">
        <f t="shared" si="6"/>
        <v>2520000000</v>
      </c>
      <c r="W8" s="3">
        <f t="shared" si="6"/>
        <v>2640000000</v>
      </c>
      <c r="X8" s="3">
        <f t="shared" si="6"/>
        <v>2760000000</v>
      </c>
      <c r="Y8" s="3">
        <f t="shared" si="6"/>
        <v>2880000000</v>
      </c>
      <c r="Z8" s="3">
        <f t="shared" si="6"/>
        <v>3000000000</v>
      </c>
      <c r="AA8" s="3">
        <f t="shared" si="6"/>
        <v>3120000000</v>
      </c>
      <c r="AB8" s="3">
        <f t="shared" si="6"/>
        <v>3240000000</v>
      </c>
      <c r="AC8" s="3">
        <f t="shared" si="6"/>
        <v>3360000000</v>
      </c>
      <c r="AD8" s="3">
        <f t="shared" si="6"/>
        <v>3480000000</v>
      </c>
      <c r="AE8" s="3">
        <f t="shared" si="6"/>
        <v>3600000000</v>
      </c>
      <c r="AF8" s="3">
        <f t="shared" si="6"/>
        <v>3720000000</v>
      </c>
      <c r="AG8" s="3">
        <f t="shared" si="6"/>
        <v>3840000000</v>
      </c>
      <c r="AH8" s="3">
        <f t="shared" si="6"/>
        <v>3960000000</v>
      </c>
      <c r="AI8" s="3">
        <f t="shared" si="6"/>
        <v>4080000000</v>
      </c>
      <c r="AJ8" s="3">
        <f t="shared" si="6"/>
        <v>4200000000</v>
      </c>
      <c r="AK8" s="3">
        <f t="shared" si="6"/>
        <v>4320000000</v>
      </c>
      <c r="AL8" s="3">
        <f t="shared" si="6"/>
        <v>4440000000</v>
      </c>
      <c r="AM8" s="3">
        <f t="shared" si="6"/>
        <v>4560000000</v>
      </c>
      <c r="AN8" s="3">
        <f t="shared" si="6"/>
        <v>4680000000</v>
      </c>
      <c r="AO8" s="3">
        <f t="shared" si="6"/>
        <v>4800000000</v>
      </c>
      <c r="AP8" s="3">
        <f t="shared" si="6"/>
        <v>4920000000</v>
      </c>
      <c r="AQ8" s="3">
        <f t="shared" si="6"/>
        <v>5040000000</v>
      </c>
      <c r="AR8" s="3">
        <f t="shared" si="6"/>
        <v>5160000000</v>
      </c>
      <c r="AS8" s="3">
        <f t="shared" si="6"/>
        <v>5280000000</v>
      </c>
      <c r="AT8" s="3">
        <f t="shared" si="6"/>
        <v>5400000000</v>
      </c>
      <c r="AU8" s="3">
        <f t="shared" si="6"/>
        <v>5520000000</v>
      </c>
      <c r="AV8" s="3">
        <f t="shared" si="6"/>
        <v>5640000000</v>
      </c>
      <c r="AW8" s="3">
        <f t="shared" si="6"/>
        <v>5760000000</v>
      </c>
      <c r="AX8" s="3">
        <f t="shared" si="6"/>
        <v>5880000000</v>
      </c>
      <c r="AY8" s="3">
        <f t="shared" si="6"/>
        <v>6000000000</v>
      </c>
      <c r="AZ8" s="3">
        <f t="shared" si="6"/>
        <v>6120000000</v>
      </c>
      <c r="BA8" s="3">
        <f t="shared" si="6"/>
        <v>6240000000</v>
      </c>
      <c r="BB8" s="3">
        <f t="shared" si="6"/>
        <v>6360000000</v>
      </c>
      <c r="BC8" s="3">
        <f t="shared" si="6"/>
        <v>6480000000</v>
      </c>
      <c r="BD8" s="3">
        <f t="shared" si="6"/>
        <v>6600000000</v>
      </c>
      <c r="BE8" s="3">
        <f t="shared" si="6"/>
        <v>6720000000</v>
      </c>
      <c r="BF8" s="3">
        <f t="shared" si="6"/>
        <v>6840000000</v>
      </c>
      <c r="BG8" s="3">
        <f t="shared" si="6"/>
        <v>6960000000</v>
      </c>
      <c r="BH8" s="3">
        <f t="shared" si="6"/>
        <v>7080000000</v>
      </c>
      <c r="BI8" s="3">
        <f t="shared" si="6"/>
        <v>7200000000</v>
      </c>
      <c r="BJ8" s="3">
        <f t="shared" si="6"/>
        <v>7320000000</v>
      </c>
      <c r="BK8" s="3">
        <f t="shared" si="6"/>
        <v>7440000000</v>
      </c>
      <c r="BL8" s="3">
        <f t="shared" si="6"/>
        <v>7560000000</v>
      </c>
      <c r="BM8" s="3">
        <f t="shared" si="6"/>
        <v>7680000000</v>
      </c>
    </row>
    <row r="9" spans="1:65" x14ac:dyDescent="0.2">
      <c r="B9">
        <v>1</v>
      </c>
      <c r="C9" s="3">
        <f>B9*2</f>
        <v>2</v>
      </c>
      <c r="D9" s="3">
        <f t="shared" ref="D9:BM9" si="7">C9*2</f>
        <v>4</v>
      </c>
      <c r="E9" s="3">
        <f t="shared" si="7"/>
        <v>8</v>
      </c>
      <c r="F9" s="3">
        <f t="shared" si="7"/>
        <v>16</v>
      </c>
      <c r="G9" s="3">
        <f t="shared" si="7"/>
        <v>32</v>
      </c>
      <c r="H9" s="3">
        <f t="shared" si="7"/>
        <v>64</v>
      </c>
      <c r="I9" s="3">
        <f t="shared" si="7"/>
        <v>128</v>
      </c>
      <c r="J9" s="3">
        <f t="shared" si="7"/>
        <v>256</v>
      </c>
      <c r="K9" s="3">
        <f t="shared" si="7"/>
        <v>512</v>
      </c>
      <c r="L9" s="3">
        <f t="shared" si="7"/>
        <v>1024</v>
      </c>
      <c r="M9" s="3">
        <f t="shared" si="7"/>
        <v>2048</v>
      </c>
      <c r="N9" s="3">
        <f t="shared" si="7"/>
        <v>4096</v>
      </c>
      <c r="O9" s="3">
        <f t="shared" si="7"/>
        <v>8192</v>
      </c>
      <c r="P9" s="3">
        <f t="shared" si="7"/>
        <v>16384</v>
      </c>
      <c r="Q9" s="3">
        <f t="shared" si="7"/>
        <v>32768</v>
      </c>
      <c r="R9" s="3">
        <f t="shared" si="7"/>
        <v>65536</v>
      </c>
      <c r="S9" s="3">
        <f t="shared" si="7"/>
        <v>131072</v>
      </c>
      <c r="T9" s="3">
        <f t="shared" si="7"/>
        <v>262144</v>
      </c>
      <c r="U9" s="3">
        <f t="shared" si="7"/>
        <v>524288</v>
      </c>
      <c r="V9" s="3">
        <f t="shared" si="7"/>
        <v>1048576</v>
      </c>
      <c r="W9" s="3">
        <f t="shared" si="7"/>
        <v>2097152</v>
      </c>
      <c r="X9" s="3">
        <f t="shared" si="7"/>
        <v>4194304</v>
      </c>
      <c r="Y9" s="3">
        <f t="shared" si="7"/>
        <v>8388608</v>
      </c>
      <c r="Z9" s="3">
        <f t="shared" si="7"/>
        <v>16777216</v>
      </c>
      <c r="AA9" s="3">
        <f t="shared" si="7"/>
        <v>33554432</v>
      </c>
      <c r="AB9" s="3">
        <f t="shared" si="7"/>
        <v>67108864</v>
      </c>
      <c r="AC9" s="3">
        <f t="shared" si="7"/>
        <v>134217728</v>
      </c>
      <c r="AD9" s="3">
        <f t="shared" si="7"/>
        <v>268435456</v>
      </c>
      <c r="AE9" s="3">
        <f t="shared" si="7"/>
        <v>536870912</v>
      </c>
      <c r="AF9" s="3">
        <f t="shared" si="7"/>
        <v>1073741824</v>
      </c>
      <c r="AG9" s="3">
        <f t="shared" si="7"/>
        <v>2147483648</v>
      </c>
      <c r="AH9" s="3">
        <f t="shared" si="7"/>
        <v>4294967296</v>
      </c>
      <c r="AI9" s="3">
        <f t="shared" si="7"/>
        <v>8589934592</v>
      </c>
      <c r="AJ9" s="3">
        <f t="shared" si="7"/>
        <v>17179869184</v>
      </c>
      <c r="AK9" s="3">
        <f t="shared" si="7"/>
        <v>34359738368</v>
      </c>
      <c r="AL9" s="3">
        <f t="shared" si="7"/>
        <v>68719476736</v>
      </c>
      <c r="AM9" s="3">
        <f t="shared" si="7"/>
        <v>137438953472</v>
      </c>
      <c r="AN9" s="3">
        <f t="shared" si="7"/>
        <v>274877906944</v>
      </c>
      <c r="AO9" s="3">
        <f t="shared" si="7"/>
        <v>549755813888</v>
      </c>
      <c r="AP9" s="3">
        <f t="shared" si="7"/>
        <v>1099511627776</v>
      </c>
      <c r="AQ9" s="3">
        <f t="shared" si="7"/>
        <v>2199023255552</v>
      </c>
      <c r="AR9" s="3">
        <f t="shared" si="7"/>
        <v>4398046511104</v>
      </c>
      <c r="AS9" s="3">
        <f t="shared" si="7"/>
        <v>8796093022208</v>
      </c>
      <c r="AT9" s="3">
        <f t="shared" si="7"/>
        <v>17592186044416</v>
      </c>
      <c r="AU9" s="3">
        <f t="shared" si="7"/>
        <v>35184372088832</v>
      </c>
      <c r="AV9" s="3">
        <f t="shared" si="7"/>
        <v>70368744177664</v>
      </c>
      <c r="AW9" s="3">
        <f t="shared" si="7"/>
        <v>140737488355328</v>
      </c>
      <c r="AX9" s="3">
        <f t="shared" si="7"/>
        <v>281474976710656</v>
      </c>
      <c r="AY9" s="3">
        <f t="shared" si="7"/>
        <v>562949953421312</v>
      </c>
      <c r="AZ9" s="3">
        <f t="shared" si="7"/>
        <v>1125899906842624</v>
      </c>
      <c r="BA9" s="3">
        <f t="shared" si="7"/>
        <v>2251799813685248</v>
      </c>
      <c r="BB9" s="3">
        <f t="shared" si="7"/>
        <v>4503599627370496</v>
      </c>
      <c r="BC9" s="3">
        <f t="shared" si="7"/>
        <v>9007199254740992</v>
      </c>
      <c r="BD9" s="3">
        <f t="shared" si="7"/>
        <v>1.8014398509481984E+16</v>
      </c>
      <c r="BE9" s="3">
        <f t="shared" si="7"/>
        <v>3.6028797018963968E+16</v>
      </c>
      <c r="BF9" s="3">
        <f t="shared" si="7"/>
        <v>7.2057594037927936E+16</v>
      </c>
      <c r="BG9" s="3">
        <f t="shared" si="7"/>
        <v>1.4411518807585587E+17</v>
      </c>
      <c r="BH9" s="3">
        <f t="shared" si="7"/>
        <v>2.8823037615171174E+17</v>
      </c>
      <c r="BI9" s="3">
        <f t="shared" si="7"/>
        <v>5.7646075230342349E+17</v>
      </c>
      <c r="BJ9" s="3">
        <f t="shared" si="7"/>
        <v>1.152921504606847E+18</v>
      </c>
      <c r="BK9" s="3">
        <f t="shared" si="7"/>
        <v>2.305843009213694E+18</v>
      </c>
      <c r="BL9" s="3">
        <f t="shared" si="7"/>
        <v>4.6116860184273879E+18</v>
      </c>
      <c r="BM9" s="3">
        <f t="shared" si="7"/>
        <v>9.2233720368547758E+18</v>
      </c>
    </row>
    <row r="13" spans="1:65" x14ac:dyDescent="0.2"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  <c r="AI13">
        <v>33</v>
      </c>
      <c r="AJ13">
        <v>34</v>
      </c>
      <c r="AK13">
        <v>35</v>
      </c>
      <c r="AL13">
        <v>36</v>
      </c>
      <c r="AM13">
        <v>37</v>
      </c>
      <c r="AN13">
        <v>38</v>
      </c>
      <c r="AO13">
        <v>39</v>
      </c>
      <c r="AP13">
        <v>40</v>
      </c>
      <c r="AQ13">
        <v>41</v>
      </c>
      <c r="AR13">
        <v>42</v>
      </c>
      <c r="AS13">
        <v>43</v>
      </c>
      <c r="AT13">
        <v>44</v>
      </c>
      <c r="AU13">
        <v>45</v>
      </c>
    </row>
    <row r="14" spans="1:65" x14ac:dyDescent="0.2">
      <c r="A14" s="2">
        <v>500</v>
      </c>
      <c r="B14" s="2">
        <v>8000</v>
      </c>
      <c r="C14" s="1">
        <f>B14+$A$14</f>
        <v>8500</v>
      </c>
      <c r="D14" s="1">
        <f t="shared" ref="D14:AE14" si="8">C14+$A$14</f>
        <v>9000</v>
      </c>
      <c r="E14" s="1">
        <f t="shared" si="8"/>
        <v>9500</v>
      </c>
      <c r="F14" s="1">
        <f t="shared" si="8"/>
        <v>10000</v>
      </c>
      <c r="G14" s="1">
        <f t="shared" si="8"/>
        <v>10500</v>
      </c>
      <c r="H14" s="1">
        <f t="shared" si="8"/>
        <v>11000</v>
      </c>
      <c r="I14" s="1">
        <f t="shared" si="8"/>
        <v>11500</v>
      </c>
      <c r="J14" s="1">
        <f t="shared" si="8"/>
        <v>12000</v>
      </c>
      <c r="K14" s="1">
        <f t="shared" si="8"/>
        <v>12500</v>
      </c>
      <c r="L14" s="1">
        <f t="shared" si="8"/>
        <v>13000</v>
      </c>
      <c r="M14" s="1">
        <f t="shared" si="8"/>
        <v>13500</v>
      </c>
      <c r="N14" s="1">
        <f t="shared" si="8"/>
        <v>14000</v>
      </c>
      <c r="O14" s="1">
        <f t="shared" si="8"/>
        <v>14500</v>
      </c>
      <c r="P14" s="1">
        <f t="shared" si="8"/>
        <v>15000</v>
      </c>
      <c r="Q14" s="1">
        <f t="shared" si="8"/>
        <v>15500</v>
      </c>
      <c r="R14" s="1">
        <f t="shared" si="8"/>
        <v>16000</v>
      </c>
      <c r="S14" s="1">
        <f t="shared" si="8"/>
        <v>16500</v>
      </c>
      <c r="T14" s="1">
        <f t="shared" si="8"/>
        <v>17000</v>
      </c>
      <c r="U14" s="1">
        <f t="shared" si="8"/>
        <v>17500</v>
      </c>
      <c r="V14" s="1">
        <f t="shared" si="8"/>
        <v>18000</v>
      </c>
      <c r="W14" s="1">
        <f t="shared" si="8"/>
        <v>18500</v>
      </c>
      <c r="X14" s="1">
        <f t="shared" si="8"/>
        <v>19000</v>
      </c>
      <c r="Y14" s="1">
        <f t="shared" si="8"/>
        <v>19500</v>
      </c>
      <c r="Z14" s="1">
        <f t="shared" si="8"/>
        <v>20000</v>
      </c>
      <c r="AA14" s="1">
        <f t="shared" si="8"/>
        <v>20500</v>
      </c>
      <c r="AB14" s="1">
        <f t="shared" si="8"/>
        <v>21000</v>
      </c>
      <c r="AC14" s="1">
        <f t="shared" si="8"/>
        <v>21500</v>
      </c>
      <c r="AD14" s="1">
        <f t="shared" si="8"/>
        <v>22000</v>
      </c>
      <c r="AE14" s="1">
        <f t="shared" si="8"/>
        <v>22500</v>
      </c>
    </row>
    <row r="15" spans="1:65" x14ac:dyDescent="0.2">
      <c r="A15" s="4">
        <v>0.05</v>
      </c>
      <c r="B15" s="2">
        <v>10000</v>
      </c>
      <c r="C15" s="1">
        <f>B15*(1+$A$15)</f>
        <v>10500</v>
      </c>
      <c r="D15" s="1">
        <f t="shared" ref="D15:AF15" si="9">C15*(1+$A$15)</f>
        <v>11025</v>
      </c>
      <c r="E15" s="1">
        <f t="shared" si="9"/>
        <v>11576.25</v>
      </c>
      <c r="F15" s="1">
        <f t="shared" si="9"/>
        <v>12155.0625</v>
      </c>
      <c r="G15" s="1">
        <f t="shared" si="9"/>
        <v>12762.815625000001</v>
      </c>
      <c r="H15" s="1">
        <f t="shared" si="9"/>
        <v>13400.956406250001</v>
      </c>
      <c r="I15" s="1">
        <f t="shared" si="9"/>
        <v>14071.004226562502</v>
      </c>
      <c r="J15" s="1">
        <f t="shared" si="9"/>
        <v>14774.554437890627</v>
      </c>
      <c r="K15" s="1">
        <f t="shared" si="9"/>
        <v>15513.28215978516</v>
      </c>
      <c r="L15" s="1">
        <f t="shared" si="9"/>
        <v>16288.946267774418</v>
      </c>
      <c r="M15" s="1">
        <f t="shared" si="9"/>
        <v>17103.393581163138</v>
      </c>
      <c r="N15" s="1">
        <f t="shared" si="9"/>
        <v>17958.563260221297</v>
      </c>
      <c r="O15" s="1">
        <f t="shared" si="9"/>
        <v>18856.491423232364</v>
      </c>
      <c r="P15" s="1">
        <f t="shared" si="9"/>
        <v>19799.315994393983</v>
      </c>
      <c r="Q15" s="1">
        <f t="shared" si="9"/>
        <v>20789.281794113682</v>
      </c>
      <c r="R15" s="1">
        <f t="shared" si="9"/>
        <v>21828.745883819367</v>
      </c>
      <c r="S15" s="1">
        <f t="shared" si="9"/>
        <v>22920.183178010335</v>
      </c>
      <c r="T15" s="1">
        <f t="shared" si="9"/>
        <v>24066.192336910852</v>
      </c>
      <c r="U15" s="1">
        <f t="shared" si="9"/>
        <v>25269.501953756397</v>
      </c>
      <c r="V15" s="1">
        <f t="shared" si="9"/>
        <v>26532.977051444217</v>
      </c>
      <c r="W15" s="1">
        <f t="shared" si="9"/>
        <v>27859.62590401643</v>
      </c>
      <c r="X15" s="1">
        <f t="shared" si="9"/>
        <v>29252.607199217251</v>
      </c>
      <c r="Y15" s="1">
        <f t="shared" si="9"/>
        <v>30715.237559178116</v>
      </c>
      <c r="Z15" s="1">
        <f t="shared" si="9"/>
        <v>32250.999437137023</v>
      </c>
      <c r="AA15" s="1">
        <f t="shared" si="9"/>
        <v>33863.549408993873</v>
      </c>
      <c r="AB15" s="1">
        <f t="shared" si="9"/>
        <v>35556.726879443566</v>
      </c>
      <c r="AC15" s="1">
        <f t="shared" si="9"/>
        <v>37334.563223415746</v>
      </c>
      <c r="AD15" s="1">
        <f t="shared" si="9"/>
        <v>39201.291384586533</v>
      </c>
      <c r="AE15" s="1">
        <f t="shared" si="9"/>
        <v>41161.355953815859</v>
      </c>
      <c r="AF15" s="1">
        <f t="shared" si="9"/>
        <v>43219.423751506656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7A53-8FE9-CD4D-BADE-E4431B5588FF}">
  <dimension ref="A3:D28"/>
  <sheetViews>
    <sheetView zoomScale="275" workbookViewId="0">
      <selection activeCell="C6" sqref="C6"/>
    </sheetView>
  </sheetViews>
  <sheetFormatPr baseColWidth="10" defaultRowHeight="16" x14ac:dyDescent="0.2"/>
  <cols>
    <col min="2" max="2" width="12.5" bestFit="1" customWidth="1"/>
  </cols>
  <sheetData>
    <row r="3" spans="1:4" x14ac:dyDescent="0.2">
      <c r="A3">
        <v>2001</v>
      </c>
      <c r="B3">
        <v>100</v>
      </c>
      <c r="C3" s="2">
        <v>65000</v>
      </c>
      <c r="D3">
        <f t="shared" ref="D3:D9" si="0">B3/C3</f>
        <v>1.5384615384615385E-3</v>
      </c>
    </row>
    <row r="4" spans="1:4" x14ac:dyDescent="0.2">
      <c r="A4">
        <v>2002</v>
      </c>
      <c r="B4" s="2">
        <f>B3*4.25</f>
        <v>425</v>
      </c>
      <c r="C4" s="2">
        <f>C3+2600</f>
        <v>67600</v>
      </c>
      <c r="D4">
        <f t="shared" si="0"/>
        <v>6.2869822485207101E-3</v>
      </c>
    </row>
    <row r="5" spans="1:4" x14ac:dyDescent="0.2">
      <c r="A5">
        <v>2003</v>
      </c>
      <c r="B5" s="2">
        <f t="shared" ref="B5:B9" si="1">B4*4.25</f>
        <v>1806.25</v>
      </c>
      <c r="C5" s="2">
        <f t="shared" ref="C5:C9" si="2">C4+2600</f>
        <v>70200</v>
      </c>
      <c r="D5">
        <f t="shared" si="0"/>
        <v>2.5730056980056981E-2</v>
      </c>
    </row>
    <row r="6" spans="1:4" x14ac:dyDescent="0.2">
      <c r="A6">
        <v>2004</v>
      </c>
      <c r="B6" s="2">
        <f t="shared" si="1"/>
        <v>7676.5625</v>
      </c>
      <c r="C6" s="2">
        <f t="shared" si="2"/>
        <v>72800</v>
      </c>
      <c r="D6">
        <f t="shared" si="0"/>
        <v>0.10544728708791208</v>
      </c>
    </row>
    <row r="7" spans="1:4" x14ac:dyDescent="0.2">
      <c r="A7">
        <v>2005</v>
      </c>
      <c r="B7" s="2">
        <f t="shared" si="1"/>
        <v>32625.390625</v>
      </c>
      <c r="C7" s="2">
        <f t="shared" si="2"/>
        <v>75400</v>
      </c>
      <c r="D7">
        <f t="shared" si="0"/>
        <v>0.43269748839522548</v>
      </c>
    </row>
    <row r="8" spans="1:4" x14ac:dyDescent="0.2">
      <c r="A8">
        <v>2006</v>
      </c>
      <c r="B8" s="2">
        <f t="shared" si="1"/>
        <v>138657.91015625</v>
      </c>
      <c r="C8" s="2">
        <f t="shared" si="2"/>
        <v>78000</v>
      </c>
      <c r="D8">
        <f t="shared" si="0"/>
        <v>1.7776655148237179</v>
      </c>
    </row>
    <row r="9" spans="1:4" x14ac:dyDescent="0.2">
      <c r="A9">
        <v>2007</v>
      </c>
      <c r="B9" s="2">
        <f t="shared" si="1"/>
        <v>589296.1181640625</v>
      </c>
      <c r="C9" s="2">
        <f t="shared" si="2"/>
        <v>80600</v>
      </c>
      <c r="D9">
        <f t="shared" si="0"/>
        <v>7.3113662303233564</v>
      </c>
    </row>
    <row r="10" spans="1:4" x14ac:dyDescent="0.2">
      <c r="B10" s="2"/>
      <c r="C10" s="2"/>
    </row>
    <row r="11" spans="1:4" x14ac:dyDescent="0.2">
      <c r="B11" s="2"/>
      <c r="C11" s="2"/>
    </row>
    <row r="12" spans="1:4" x14ac:dyDescent="0.2">
      <c r="B12" s="2"/>
      <c r="C12" s="2"/>
    </row>
    <row r="13" spans="1:4" x14ac:dyDescent="0.2">
      <c r="B13" s="2"/>
      <c r="C13" s="2"/>
    </row>
    <row r="14" spans="1:4" x14ac:dyDescent="0.2">
      <c r="B14" s="2"/>
      <c r="C14" s="2"/>
    </row>
    <row r="15" spans="1:4" x14ac:dyDescent="0.2">
      <c r="B15" s="2"/>
      <c r="C15" s="2"/>
    </row>
    <row r="16" spans="1:4" x14ac:dyDescent="0.2">
      <c r="B16" s="2"/>
      <c r="C16" s="2"/>
    </row>
    <row r="17" spans="2:3" x14ac:dyDescent="0.2">
      <c r="B17" s="2"/>
      <c r="C17" s="2"/>
    </row>
    <row r="18" spans="2:3" x14ac:dyDescent="0.2">
      <c r="B18" s="2"/>
      <c r="C18" s="2"/>
    </row>
    <row r="19" spans="2:3" x14ac:dyDescent="0.2">
      <c r="B19" s="2"/>
      <c r="C19" s="2"/>
    </row>
    <row r="20" spans="2:3" x14ac:dyDescent="0.2">
      <c r="B20" s="2"/>
      <c r="C20" s="2"/>
    </row>
    <row r="21" spans="2:3" x14ac:dyDescent="0.2">
      <c r="B21" s="2"/>
      <c r="C21" s="2"/>
    </row>
    <row r="22" spans="2:3" x14ac:dyDescent="0.2">
      <c r="B22" s="2"/>
      <c r="C22" s="2"/>
    </row>
    <row r="23" spans="2:3" x14ac:dyDescent="0.2">
      <c r="B23" s="2"/>
      <c r="C23" s="2"/>
    </row>
    <row r="24" spans="2:3" x14ac:dyDescent="0.2">
      <c r="B24" s="2"/>
      <c r="C24" s="2"/>
    </row>
    <row r="25" spans="2:3" x14ac:dyDescent="0.2">
      <c r="B25" s="2"/>
      <c r="C25" s="2"/>
    </row>
    <row r="26" spans="2:3" x14ac:dyDescent="0.2">
      <c r="B26" s="2"/>
      <c r="C26" s="2"/>
    </row>
    <row r="27" spans="2:3" x14ac:dyDescent="0.2">
      <c r="B27" s="2"/>
      <c r="C27" s="2"/>
    </row>
    <row r="28" spans="2:3" x14ac:dyDescent="0.2">
      <c r="B28" s="2"/>
      <c r="C28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F9D7-9C97-8642-B9BD-545097A087E0}">
  <dimension ref="A1:I104"/>
  <sheetViews>
    <sheetView tabSelected="1" workbookViewId="0">
      <selection activeCell="I38" sqref="I38"/>
    </sheetView>
  </sheetViews>
  <sheetFormatPr baseColWidth="10" defaultRowHeight="16" x14ac:dyDescent="0.2"/>
  <cols>
    <col min="1" max="3" width="11" bestFit="1" customWidth="1"/>
    <col min="5" max="5" width="12.6640625" bestFit="1" customWidth="1"/>
    <col min="6" max="6" width="20.83203125" bestFit="1" customWidth="1"/>
    <col min="7" max="7" width="14.6640625" bestFit="1" customWidth="1"/>
    <col min="8" max="8" width="12.1640625" bestFit="1" customWidth="1"/>
  </cols>
  <sheetData>
    <row r="1" spans="1:7" x14ac:dyDescent="0.2">
      <c r="B1" t="s">
        <v>0</v>
      </c>
      <c r="C1" t="s">
        <v>1</v>
      </c>
      <c r="E1" t="s">
        <v>2</v>
      </c>
      <c r="F1" t="s">
        <v>3</v>
      </c>
      <c r="G1" t="s">
        <v>4</v>
      </c>
    </row>
    <row r="2" spans="1:7" x14ac:dyDescent="0.2">
      <c r="A2">
        <v>1</v>
      </c>
      <c r="B2">
        <v>100</v>
      </c>
      <c r="C2" s="2">
        <f>B2*10</f>
        <v>1000</v>
      </c>
      <c r="E2" s="2">
        <v>1</v>
      </c>
      <c r="F2" s="6">
        <f>E2*25</f>
        <v>25</v>
      </c>
      <c r="G2" s="3">
        <f>F2/(1000*1000*1000)</f>
        <v>2.4999999999999999E-8</v>
      </c>
    </row>
    <row r="3" spans="1:7" x14ac:dyDescent="0.2">
      <c r="A3">
        <v>2</v>
      </c>
      <c r="B3">
        <f>B2+100</f>
        <v>200</v>
      </c>
      <c r="C3" s="2">
        <f t="shared" ref="C3:C65" si="0">B3*10</f>
        <v>2000</v>
      </c>
      <c r="E3" s="2">
        <f>E2*2</f>
        <v>2</v>
      </c>
      <c r="F3" s="6">
        <f t="shared" ref="F3:F65" si="1">E3*25</f>
        <v>50</v>
      </c>
      <c r="G3" s="3">
        <f t="shared" ref="G3:G65" si="2">F3/(1000*1000*1000)</f>
        <v>4.9999999999999998E-8</v>
      </c>
    </row>
    <row r="4" spans="1:7" x14ac:dyDescent="0.2">
      <c r="A4">
        <v>3</v>
      </c>
      <c r="B4">
        <f t="shared" ref="B4:B25" si="3">B3+100</f>
        <v>300</v>
      </c>
      <c r="C4" s="2">
        <f t="shared" si="0"/>
        <v>3000</v>
      </c>
      <c r="E4" s="2">
        <f t="shared" ref="E4:E25" si="4">E3*2</f>
        <v>4</v>
      </c>
      <c r="F4" s="6">
        <f t="shared" si="1"/>
        <v>100</v>
      </c>
      <c r="G4" s="3">
        <f t="shared" si="2"/>
        <v>9.9999999999999995E-8</v>
      </c>
    </row>
    <row r="5" spans="1:7" x14ac:dyDescent="0.2">
      <c r="A5">
        <v>4</v>
      </c>
      <c r="B5">
        <f t="shared" si="3"/>
        <v>400</v>
      </c>
      <c r="C5" s="2">
        <f t="shared" si="0"/>
        <v>4000</v>
      </c>
      <c r="E5" s="2">
        <f t="shared" si="4"/>
        <v>8</v>
      </c>
      <c r="F5" s="6">
        <f t="shared" si="1"/>
        <v>200</v>
      </c>
      <c r="G5" s="3">
        <f t="shared" si="2"/>
        <v>1.9999999999999999E-7</v>
      </c>
    </row>
    <row r="6" spans="1:7" x14ac:dyDescent="0.2">
      <c r="A6">
        <v>5</v>
      </c>
      <c r="B6">
        <f t="shared" si="3"/>
        <v>500</v>
      </c>
      <c r="C6" s="2">
        <f t="shared" si="0"/>
        <v>5000</v>
      </c>
      <c r="E6" s="2">
        <f t="shared" si="4"/>
        <v>16</v>
      </c>
      <c r="F6" s="6">
        <f t="shared" si="1"/>
        <v>400</v>
      </c>
      <c r="G6" s="3">
        <f t="shared" si="2"/>
        <v>3.9999999999999998E-7</v>
      </c>
    </row>
    <row r="7" spans="1:7" x14ac:dyDescent="0.2">
      <c r="A7">
        <v>6</v>
      </c>
      <c r="B7">
        <f t="shared" si="3"/>
        <v>600</v>
      </c>
      <c r="C7" s="2">
        <f t="shared" si="0"/>
        <v>6000</v>
      </c>
      <c r="E7" s="2">
        <f t="shared" si="4"/>
        <v>32</v>
      </c>
      <c r="F7" s="6">
        <f t="shared" si="1"/>
        <v>800</v>
      </c>
      <c r="G7" s="3">
        <f t="shared" si="2"/>
        <v>7.9999999999999996E-7</v>
      </c>
    </row>
    <row r="8" spans="1:7" x14ac:dyDescent="0.2">
      <c r="A8">
        <v>7</v>
      </c>
      <c r="B8">
        <f t="shared" si="3"/>
        <v>700</v>
      </c>
      <c r="C8" s="2">
        <f t="shared" si="0"/>
        <v>7000</v>
      </c>
      <c r="E8" s="2">
        <f t="shared" si="4"/>
        <v>64</v>
      </c>
      <c r="F8" s="6">
        <f t="shared" si="1"/>
        <v>1600</v>
      </c>
      <c r="G8" s="3">
        <f t="shared" si="2"/>
        <v>1.5999999999999999E-6</v>
      </c>
    </row>
    <row r="9" spans="1:7" x14ac:dyDescent="0.2">
      <c r="A9">
        <v>8</v>
      </c>
      <c r="B9">
        <f t="shared" si="3"/>
        <v>800</v>
      </c>
      <c r="C9" s="2">
        <f t="shared" si="0"/>
        <v>8000</v>
      </c>
      <c r="E9" s="2">
        <f t="shared" si="4"/>
        <v>128</v>
      </c>
      <c r="F9" s="6">
        <f t="shared" si="1"/>
        <v>3200</v>
      </c>
      <c r="G9" s="3">
        <f t="shared" si="2"/>
        <v>3.1999999999999999E-6</v>
      </c>
    </row>
    <row r="10" spans="1:7" x14ac:dyDescent="0.2">
      <c r="A10">
        <v>9</v>
      </c>
      <c r="B10">
        <f t="shared" si="3"/>
        <v>900</v>
      </c>
      <c r="C10" s="2">
        <f t="shared" si="0"/>
        <v>9000</v>
      </c>
      <c r="E10" s="2">
        <f t="shared" si="4"/>
        <v>256</v>
      </c>
      <c r="F10" s="6">
        <f t="shared" si="1"/>
        <v>6400</v>
      </c>
      <c r="G10" s="3">
        <f t="shared" si="2"/>
        <v>6.3999999999999997E-6</v>
      </c>
    </row>
    <row r="11" spans="1:7" x14ac:dyDescent="0.2">
      <c r="A11">
        <v>10</v>
      </c>
      <c r="B11">
        <f t="shared" si="3"/>
        <v>1000</v>
      </c>
      <c r="C11" s="2">
        <f t="shared" si="0"/>
        <v>10000</v>
      </c>
      <c r="E11" s="2">
        <f t="shared" si="4"/>
        <v>512</v>
      </c>
      <c r="F11" s="6">
        <f t="shared" si="1"/>
        <v>12800</v>
      </c>
      <c r="G11" s="3">
        <f t="shared" si="2"/>
        <v>1.2799999999999999E-5</v>
      </c>
    </row>
    <row r="12" spans="1:7" x14ac:dyDescent="0.2">
      <c r="A12">
        <v>11</v>
      </c>
      <c r="B12">
        <f t="shared" si="3"/>
        <v>1100</v>
      </c>
      <c r="C12" s="2">
        <f t="shared" si="0"/>
        <v>11000</v>
      </c>
      <c r="E12" s="2">
        <f t="shared" si="4"/>
        <v>1024</v>
      </c>
      <c r="F12" s="6">
        <f t="shared" si="1"/>
        <v>25600</v>
      </c>
      <c r="G12" s="3">
        <f t="shared" si="2"/>
        <v>2.5599999999999999E-5</v>
      </c>
    </row>
    <row r="13" spans="1:7" x14ac:dyDescent="0.2">
      <c r="A13">
        <v>12</v>
      </c>
      <c r="B13">
        <f t="shared" si="3"/>
        <v>1200</v>
      </c>
      <c r="C13" s="2">
        <f t="shared" si="0"/>
        <v>12000</v>
      </c>
      <c r="E13" s="2">
        <f t="shared" si="4"/>
        <v>2048</v>
      </c>
      <c r="F13" s="6">
        <f t="shared" si="1"/>
        <v>51200</v>
      </c>
      <c r="G13" s="3">
        <f t="shared" si="2"/>
        <v>5.1199999999999998E-5</v>
      </c>
    </row>
    <row r="14" spans="1:7" x14ac:dyDescent="0.2">
      <c r="A14">
        <v>13</v>
      </c>
      <c r="B14">
        <f t="shared" si="3"/>
        <v>1300</v>
      </c>
      <c r="C14" s="2">
        <f t="shared" si="0"/>
        <v>13000</v>
      </c>
      <c r="E14" s="2">
        <f t="shared" si="4"/>
        <v>4096</v>
      </c>
      <c r="F14" s="6">
        <f t="shared" si="1"/>
        <v>102400</v>
      </c>
      <c r="G14" s="3">
        <f t="shared" si="2"/>
        <v>1.024E-4</v>
      </c>
    </row>
    <row r="15" spans="1:7" x14ac:dyDescent="0.2">
      <c r="A15">
        <v>14</v>
      </c>
      <c r="B15">
        <f t="shared" si="3"/>
        <v>1400</v>
      </c>
      <c r="C15" s="2">
        <f t="shared" si="0"/>
        <v>14000</v>
      </c>
      <c r="E15" s="2">
        <f t="shared" si="4"/>
        <v>8192</v>
      </c>
      <c r="F15" s="6">
        <f t="shared" si="1"/>
        <v>204800</v>
      </c>
      <c r="G15" s="3">
        <f t="shared" si="2"/>
        <v>2.0479999999999999E-4</v>
      </c>
    </row>
    <row r="16" spans="1:7" x14ac:dyDescent="0.2">
      <c r="A16">
        <v>15</v>
      </c>
      <c r="B16">
        <f t="shared" si="3"/>
        <v>1500</v>
      </c>
      <c r="C16" s="2">
        <f t="shared" si="0"/>
        <v>15000</v>
      </c>
      <c r="E16" s="2">
        <f t="shared" si="4"/>
        <v>16384</v>
      </c>
      <c r="F16" s="6">
        <f t="shared" si="1"/>
        <v>409600</v>
      </c>
      <c r="G16" s="3">
        <f t="shared" si="2"/>
        <v>4.0959999999999998E-4</v>
      </c>
    </row>
    <row r="17" spans="1:8" x14ac:dyDescent="0.2">
      <c r="A17">
        <v>16</v>
      </c>
      <c r="B17">
        <f t="shared" si="3"/>
        <v>1600</v>
      </c>
      <c r="C17" s="2">
        <f t="shared" si="0"/>
        <v>16000</v>
      </c>
      <c r="E17" s="2">
        <f t="shared" si="4"/>
        <v>32768</v>
      </c>
      <c r="F17" s="6">
        <f t="shared" si="1"/>
        <v>819200</v>
      </c>
      <c r="G17" s="3">
        <f t="shared" si="2"/>
        <v>8.1919999999999996E-4</v>
      </c>
    </row>
    <row r="18" spans="1:8" x14ac:dyDescent="0.2">
      <c r="A18">
        <v>17</v>
      </c>
      <c r="B18">
        <f t="shared" si="3"/>
        <v>1700</v>
      </c>
      <c r="C18" s="2">
        <f t="shared" si="0"/>
        <v>17000</v>
      </c>
      <c r="E18" s="2">
        <f t="shared" si="4"/>
        <v>65536</v>
      </c>
      <c r="F18" s="6">
        <f t="shared" si="1"/>
        <v>1638400</v>
      </c>
      <c r="G18" s="3">
        <f t="shared" si="2"/>
        <v>1.6383999999999999E-3</v>
      </c>
    </row>
    <row r="19" spans="1:8" x14ac:dyDescent="0.2">
      <c r="A19">
        <v>18</v>
      </c>
      <c r="B19">
        <f t="shared" si="3"/>
        <v>1800</v>
      </c>
      <c r="C19" s="2">
        <f t="shared" si="0"/>
        <v>18000</v>
      </c>
      <c r="E19" s="2">
        <f t="shared" si="4"/>
        <v>131072</v>
      </c>
      <c r="F19" s="6">
        <f t="shared" si="1"/>
        <v>3276800</v>
      </c>
      <c r="G19" s="3">
        <f t="shared" si="2"/>
        <v>3.2767999999999999E-3</v>
      </c>
    </row>
    <row r="20" spans="1:8" x14ac:dyDescent="0.2">
      <c r="A20">
        <v>19</v>
      </c>
      <c r="B20">
        <f t="shared" si="3"/>
        <v>1900</v>
      </c>
      <c r="C20" s="2">
        <f t="shared" si="0"/>
        <v>19000</v>
      </c>
      <c r="E20" s="2">
        <f t="shared" si="4"/>
        <v>262144</v>
      </c>
      <c r="F20" s="6">
        <f t="shared" si="1"/>
        <v>6553600</v>
      </c>
      <c r="G20" s="3">
        <f t="shared" si="2"/>
        <v>6.5535999999999997E-3</v>
      </c>
    </row>
    <row r="21" spans="1:8" x14ac:dyDescent="0.2">
      <c r="A21">
        <v>20</v>
      </c>
      <c r="B21">
        <f t="shared" si="3"/>
        <v>2000</v>
      </c>
      <c r="C21" s="2">
        <f t="shared" si="0"/>
        <v>20000</v>
      </c>
      <c r="E21" s="2">
        <f t="shared" si="4"/>
        <v>524288</v>
      </c>
      <c r="F21" s="6">
        <f t="shared" si="1"/>
        <v>13107200</v>
      </c>
      <c r="G21" s="3">
        <f t="shared" si="2"/>
        <v>1.3107199999999999E-2</v>
      </c>
    </row>
    <row r="22" spans="1:8" x14ac:dyDescent="0.2">
      <c r="A22">
        <v>21</v>
      </c>
      <c r="B22">
        <f t="shared" si="3"/>
        <v>2100</v>
      </c>
      <c r="C22" s="2">
        <f t="shared" si="0"/>
        <v>21000</v>
      </c>
      <c r="E22" s="2">
        <f t="shared" si="4"/>
        <v>1048576</v>
      </c>
      <c r="F22" s="6">
        <f t="shared" si="1"/>
        <v>26214400</v>
      </c>
      <c r="G22" s="3">
        <f t="shared" si="2"/>
        <v>2.6214399999999999E-2</v>
      </c>
    </row>
    <row r="23" spans="1:8" x14ac:dyDescent="0.2">
      <c r="A23">
        <v>22</v>
      </c>
      <c r="B23">
        <f t="shared" si="3"/>
        <v>2200</v>
      </c>
      <c r="C23" s="2">
        <f t="shared" si="0"/>
        <v>22000</v>
      </c>
      <c r="E23" s="2">
        <f t="shared" si="4"/>
        <v>2097152</v>
      </c>
      <c r="F23" s="6">
        <f t="shared" si="1"/>
        <v>52428800</v>
      </c>
      <c r="G23" s="3">
        <f t="shared" si="2"/>
        <v>5.2428799999999998E-2</v>
      </c>
    </row>
    <row r="24" spans="1:8" x14ac:dyDescent="0.2">
      <c r="A24">
        <v>23</v>
      </c>
      <c r="B24">
        <f t="shared" si="3"/>
        <v>2300</v>
      </c>
      <c r="C24" s="2">
        <f t="shared" si="0"/>
        <v>23000</v>
      </c>
      <c r="E24" s="2">
        <f t="shared" si="4"/>
        <v>4194304</v>
      </c>
      <c r="F24" s="6">
        <f t="shared" si="1"/>
        <v>104857600</v>
      </c>
      <c r="G24" s="3">
        <f t="shared" si="2"/>
        <v>0.1048576</v>
      </c>
    </row>
    <row r="25" spans="1:8" x14ac:dyDescent="0.2">
      <c r="A25">
        <v>24</v>
      </c>
      <c r="B25">
        <f t="shared" si="3"/>
        <v>2400</v>
      </c>
      <c r="C25" s="2">
        <f t="shared" si="0"/>
        <v>24000</v>
      </c>
      <c r="E25" s="2">
        <f t="shared" si="4"/>
        <v>8388608</v>
      </c>
      <c r="F25" s="6">
        <f t="shared" si="1"/>
        <v>209715200</v>
      </c>
      <c r="G25" s="3">
        <f t="shared" si="2"/>
        <v>0.20971519999999999</v>
      </c>
    </row>
    <row r="26" spans="1:8" x14ac:dyDescent="0.2">
      <c r="A26">
        <v>25</v>
      </c>
      <c r="B26">
        <f t="shared" ref="B26:B65" si="5">B25+100</f>
        <v>2500</v>
      </c>
      <c r="C26" s="2">
        <f t="shared" si="0"/>
        <v>25000</v>
      </c>
      <c r="E26" s="2">
        <f t="shared" ref="E26:E65" si="6">E25*2</f>
        <v>16777216</v>
      </c>
      <c r="F26" s="6">
        <f t="shared" si="1"/>
        <v>419430400</v>
      </c>
      <c r="G26" s="3">
        <f t="shared" si="2"/>
        <v>0.41943039999999998</v>
      </c>
    </row>
    <row r="27" spans="1:8" x14ac:dyDescent="0.2">
      <c r="A27">
        <v>26</v>
      </c>
      <c r="B27">
        <f t="shared" si="5"/>
        <v>2600</v>
      </c>
      <c r="C27" s="2">
        <f t="shared" si="0"/>
        <v>26000</v>
      </c>
      <c r="E27" s="2">
        <f t="shared" si="6"/>
        <v>33554432</v>
      </c>
      <c r="F27" s="6">
        <f t="shared" si="1"/>
        <v>838860800</v>
      </c>
      <c r="G27" s="3">
        <f t="shared" si="2"/>
        <v>0.83886079999999996</v>
      </c>
    </row>
    <row r="28" spans="1:8" x14ac:dyDescent="0.2">
      <c r="A28" s="7">
        <v>27</v>
      </c>
      <c r="B28" s="7">
        <f t="shared" si="5"/>
        <v>2700</v>
      </c>
      <c r="C28" s="8">
        <f t="shared" si="0"/>
        <v>27000</v>
      </c>
      <c r="D28" s="7"/>
      <c r="E28" s="8">
        <f t="shared" si="6"/>
        <v>67108864</v>
      </c>
      <c r="F28" s="9">
        <f t="shared" si="1"/>
        <v>1677721600</v>
      </c>
      <c r="G28" s="8">
        <f t="shared" si="2"/>
        <v>1.6777215999999999</v>
      </c>
      <c r="H28">
        <f>G28/C28</f>
        <v>6.2137837037037032E-5</v>
      </c>
    </row>
    <row r="29" spans="1:8" x14ac:dyDescent="0.2">
      <c r="A29" s="7">
        <v>28</v>
      </c>
      <c r="B29" s="7">
        <f t="shared" si="5"/>
        <v>2800</v>
      </c>
      <c r="C29" s="8">
        <f t="shared" si="0"/>
        <v>28000</v>
      </c>
      <c r="D29" s="7"/>
      <c r="E29" s="8">
        <f t="shared" si="6"/>
        <v>134217728</v>
      </c>
      <c r="F29" s="9">
        <f t="shared" si="1"/>
        <v>3355443200</v>
      </c>
      <c r="G29" s="8">
        <f t="shared" si="2"/>
        <v>3.3554431999999998</v>
      </c>
      <c r="H29">
        <f t="shared" ref="H29:H50" si="7">G29/C29</f>
        <v>1.1983725714285714E-4</v>
      </c>
    </row>
    <row r="30" spans="1:8" x14ac:dyDescent="0.2">
      <c r="A30" s="7">
        <v>29</v>
      </c>
      <c r="B30" s="7">
        <f t="shared" si="5"/>
        <v>2900</v>
      </c>
      <c r="C30" s="8">
        <f t="shared" si="0"/>
        <v>29000</v>
      </c>
      <c r="D30" s="7"/>
      <c r="E30" s="8">
        <f t="shared" si="6"/>
        <v>268435456</v>
      </c>
      <c r="F30" s="9">
        <f t="shared" si="1"/>
        <v>6710886400</v>
      </c>
      <c r="G30" s="8">
        <f t="shared" si="2"/>
        <v>6.7108863999999997</v>
      </c>
      <c r="H30">
        <f t="shared" si="7"/>
        <v>2.3140987586206895E-4</v>
      </c>
    </row>
    <row r="31" spans="1:8" x14ac:dyDescent="0.2">
      <c r="A31" s="7">
        <v>30</v>
      </c>
      <c r="B31" s="7">
        <f t="shared" si="5"/>
        <v>3000</v>
      </c>
      <c r="C31" s="8">
        <f t="shared" si="0"/>
        <v>30000</v>
      </c>
      <c r="D31" s="7"/>
      <c r="E31" s="8">
        <f t="shared" si="6"/>
        <v>536870912</v>
      </c>
      <c r="F31" s="9">
        <f t="shared" si="1"/>
        <v>13421772800</v>
      </c>
      <c r="G31" s="8">
        <f t="shared" si="2"/>
        <v>13.421772799999999</v>
      </c>
      <c r="H31">
        <f t="shared" si="7"/>
        <v>4.4739242666666664E-4</v>
      </c>
    </row>
    <row r="32" spans="1:8" x14ac:dyDescent="0.2">
      <c r="A32" s="7">
        <v>31</v>
      </c>
      <c r="B32" s="7">
        <f t="shared" si="5"/>
        <v>3100</v>
      </c>
      <c r="C32" s="8">
        <f t="shared" si="0"/>
        <v>31000</v>
      </c>
      <c r="D32" s="7"/>
      <c r="E32" s="10">
        <f t="shared" si="6"/>
        <v>1073741824</v>
      </c>
      <c r="F32" s="9">
        <f t="shared" si="1"/>
        <v>26843545600</v>
      </c>
      <c r="G32" s="8">
        <f t="shared" si="2"/>
        <v>26.843545599999999</v>
      </c>
      <c r="H32">
        <f t="shared" si="7"/>
        <v>8.659208258064516E-4</v>
      </c>
    </row>
    <row r="33" spans="1:9" x14ac:dyDescent="0.2">
      <c r="A33" s="7">
        <v>32</v>
      </c>
      <c r="B33" s="7">
        <f t="shared" si="5"/>
        <v>3200</v>
      </c>
      <c r="C33" s="8">
        <f t="shared" si="0"/>
        <v>32000</v>
      </c>
      <c r="D33" s="7"/>
      <c r="E33" s="10">
        <f t="shared" si="6"/>
        <v>2147483648</v>
      </c>
      <c r="F33" s="9">
        <f t="shared" si="1"/>
        <v>53687091200</v>
      </c>
      <c r="G33" s="8">
        <f t="shared" si="2"/>
        <v>53.687091199999998</v>
      </c>
      <c r="H33">
        <f t="shared" si="7"/>
        <v>1.6777215999999998E-3</v>
      </c>
    </row>
    <row r="34" spans="1:9" x14ac:dyDescent="0.2">
      <c r="A34" s="7">
        <v>33</v>
      </c>
      <c r="B34" s="7">
        <f t="shared" si="5"/>
        <v>3300</v>
      </c>
      <c r="C34" s="8">
        <f t="shared" si="0"/>
        <v>33000</v>
      </c>
      <c r="D34" s="7"/>
      <c r="E34" s="10">
        <f t="shared" si="6"/>
        <v>4294967296</v>
      </c>
      <c r="F34" s="9">
        <f t="shared" si="1"/>
        <v>107374182400</v>
      </c>
      <c r="G34" s="8">
        <f t="shared" si="2"/>
        <v>107.3741824</v>
      </c>
      <c r="H34">
        <f t="shared" si="7"/>
        <v>3.2537631030303028E-3</v>
      </c>
    </row>
    <row r="35" spans="1:9" x14ac:dyDescent="0.2">
      <c r="A35" s="7">
        <v>34</v>
      </c>
      <c r="B35" s="7">
        <f t="shared" si="5"/>
        <v>3400</v>
      </c>
      <c r="C35" s="8">
        <f t="shared" si="0"/>
        <v>34000</v>
      </c>
      <c r="D35" s="7"/>
      <c r="E35" s="10">
        <f t="shared" si="6"/>
        <v>8589934592</v>
      </c>
      <c r="F35" s="9">
        <f t="shared" si="1"/>
        <v>214748364800</v>
      </c>
      <c r="G35" s="8">
        <f t="shared" si="2"/>
        <v>214.74836479999999</v>
      </c>
      <c r="H35">
        <f t="shared" si="7"/>
        <v>6.3161283764705881E-3</v>
      </c>
    </row>
    <row r="36" spans="1:9" x14ac:dyDescent="0.2">
      <c r="A36" s="7">
        <v>35</v>
      </c>
      <c r="B36" s="7">
        <f t="shared" si="5"/>
        <v>3500</v>
      </c>
      <c r="C36" s="8">
        <f t="shared" si="0"/>
        <v>35000</v>
      </c>
      <c r="D36" s="7"/>
      <c r="E36" s="10">
        <f t="shared" si="6"/>
        <v>17179869184</v>
      </c>
      <c r="F36" s="9">
        <f t="shared" si="1"/>
        <v>429496729600</v>
      </c>
      <c r="G36" s="8">
        <f t="shared" si="2"/>
        <v>429.49672959999998</v>
      </c>
      <c r="H36">
        <f t="shared" si="7"/>
        <v>1.2271335131428571E-2</v>
      </c>
    </row>
    <row r="37" spans="1:9" x14ac:dyDescent="0.2">
      <c r="A37" s="7">
        <v>36</v>
      </c>
      <c r="B37" s="7">
        <f t="shared" si="5"/>
        <v>3600</v>
      </c>
      <c r="C37" s="8">
        <f t="shared" si="0"/>
        <v>36000</v>
      </c>
      <c r="D37" s="7"/>
      <c r="E37" s="10">
        <f t="shared" si="6"/>
        <v>34359738368</v>
      </c>
      <c r="F37" s="9">
        <f t="shared" si="1"/>
        <v>858993459200</v>
      </c>
      <c r="G37" s="8">
        <f t="shared" si="2"/>
        <v>858.99345919999996</v>
      </c>
      <c r="H37">
        <f t="shared" si="7"/>
        <v>2.3860929422222222E-2</v>
      </c>
    </row>
    <row r="38" spans="1:9" x14ac:dyDescent="0.2">
      <c r="A38" s="7">
        <v>37</v>
      </c>
      <c r="B38" s="7">
        <f t="shared" si="5"/>
        <v>3700</v>
      </c>
      <c r="C38" s="8">
        <f t="shared" si="0"/>
        <v>37000</v>
      </c>
      <c r="D38" s="7"/>
      <c r="E38" s="10">
        <f t="shared" si="6"/>
        <v>68719476736</v>
      </c>
      <c r="F38" s="9">
        <f t="shared" si="1"/>
        <v>1717986918400</v>
      </c>
      <c r="G38" s="8">
        <f t="shared" si="2"/>
        <v>1717.9869183999999</v>
      </c>
      <c r="H38">
        <f t="shared" si="7"/>
        <v>4.6432078875675672E-2</v>
      </c>
    </row>
    <row r="39" spans="1:9" x14ac:dyDescent="0.2">
      <c r="A39" s="11">
        <v>38</v>
      </c>
      <c r="B39" s="11">
        <f t="shared" si="5"/>
        <v>3800</v>
      </c>
      <c r="C39" s="12">
        <f t="shared" si="0"/>
        <v>38000</v>
      </c>
      <c r="D39" s="11"/>
      <c r="E39" s="13">
        <f t="shared" si="6"/>
        <v>137438953472</v>
      </c>
      <c r="F39" s="14">
        <f t="shared" si="1"/>
        <v>3435973836800</v>
      </c>
      <c r="G39" s="12">
        <f t="shared" si="2"/>
        <v>3435.9738367999998</v>
      </c>
      <c r="H39" s="11">
        <f t="shared" si="7"/>
        <v>9.042036412631578E-2</v>
      </c>
      <c r="I39" s="15">
        <f>G39/30000</f>
        <v>0.11453246122666666</v>
      </c>
    </row>
    <row r="40" spans="1:9" x14ac:dyDescent="0.2">
      <c r="A40" s="11">
        <v>39</v>
      </c>
      <c r="B40" s="11">
        <f t="shared" si="5"/>
        <v>3900</v>
      </c>
      <c r="C40" s="12">
        <f t="shared" si="0"/>
        <v>39000</v>
      </c>
      <c r="D40" s="11"/>
      <c r="E40" s="13">
        <f t="shared" si="6"/>
        <v>274877906944</v>
      </c>
      <c r="F40" s="14">
        <f t="shared" si="1"/>
        <v>6871947673600</v>
      </c>
      <c r="G40" s="12">
        <f t="shared" si="2"/>
        <v>6871.9476735999997</v>
      </c>
      <c r="H40" s="11">
        <f t="shared" si="7"/>
        <v>0.1762037865025641</v>
      </c>
      <c r="I40" s="15">
        <f t="shared" ref="I40:I46" si="8">G40/30000</f>
        <v>0.22906492245333332</v>
      </c>
    </row>
    <row r="41" spans="1:9" x14ac:dyDescent="0.2">
      <c r="A41" s="11">
        <v>40</v>
      </c>
      <c r="B41" s="11">
        <f t="shared" si="5"/>
        <v>4000</v>
      </c>
      <c r="C41" s="12">
        <f t="shared" si="0"/>
        <v>40000</v>
      </c>
      <c r="D41" s="11"/>
      <c r="E41" s="13">
        <f t="shared" si="6"/>
        <v>549755813888</v>
      </c>
      <c r="F41" s="14">
        <f t="shared" si="1"/>
        <v>13743895347200</v>
      </c>
      <c r="G41" s="12">
        <f t="shared" si="2"/>
        <v>13743.895347199999</v>
      </c>
      <c r="H41" s="11">
        <f t="shared" si="7"/>
        <v>0.34359738367999998</v>
      </c>
      <c r="I41" s="15">
        <f t="shared" si="8"/>
        <v>0.45812984490666664</v>
      </c>
    </row>
    <row r="42" spans="1:9" x14ac:dyDescent="0.2">
      <c r="A42" s="11">
        <v>41</v>
      </c>
      <c r="B42" s="11">
        <f t="shared" si="5"/>
        <v>4100</v>
      </c>
      <c r="C42" s="12">
        <f t="shared" si="0"/>
        <v>41000</v>
      </c>
      <c r="D42" s="11"/>
      <c r="E42" s="13">
        <f t="shared" si="6"/>
        <v>1099511627776</v>
      </c>
      <c r="F42" s="14">
        <f t="shared" si="1"/>
        <v>27487790694400</v>
      </c>
      <c r="G42" s="12">
        <f t="shared" si="2"/>
        <v>27487.790694399999</v>
      </c>
      <c r="H42" s="11">
        <f t="shared" si="7"/>
        <v>0.6704339193756097</v>
      </c>
      <c r="I42" s="15">
        <f t="shared" si="8"/>
        <v>0.91625968981333328</v>
      </c>
    </row>
    <row r="43" spans="1:9" x14ac:dyDescent="0.2">
      <c r="A43" s="11">
        <v>42</v>
      </c>
      <c r="B43" s="11">
        <f t="shared" si="5"/>
        <v>4200</v>
      </c>
      <c r="C43" s="12">
        <f t="shared" si="0"/>
        <v>42000</v>
      </c>
      <c r="D43" s="11"/>
      <c r="E43" s="13">
        <f t="shared" si="6"/>
        <v>2199023255552</v>
      </c>
      <c r="F43" s="14">
        <f t="shared" si="1"/>
        <v>54975581388800</v>
      </c>
      <c r="G43" s="12">
        <f t="shared" si="2"/>
        <v>54975.581388799998</v>
      </c>
      <c r="H43" s="11">
        <f t="shared" si="7"/>
        <v>1.3089424140190475</v>
      </c>
      <c r="I43" s="15">
        <f t="shared" si="8"/>
        <v>1.8325193796266666</v>
      </c>
    </row>
    <row r="44" spans="1:9" x14ac:dyDescent="0.2">
      <c r="A44" s="11">
        <v>43</v>
      </c>
      <c r="B44" s="11">
        <f t="shared" si="5"/>
        <v>4300</v>
      </c>
      <c r="C44" s="12">
        <f t="shared" si="0"/>
        <v>43000</v>
      </c>
      <c r="D44" s="11"/>
      <c r="E44" s="13">
        <f t="shared" si="6"/>
        <v>4398046511104</v>
      </c>
      <c r="F44" s="14">
        <f t="shared" si="1"/>
        <v>109951162777600</v>
      </c>
      <c r="G44" s="12">
        <f t="shared" si="2"/>
        <v>109951.1627776</v>
      </c>
      <c r="H44" s="11">
        <f t="shared" si="7"/>
        <v>2.5570037855255814</v>
      </c>
      <c r="I44" s="15">
        <f t="shared" si="8"/>
        <v>3.6650387592533331</v>
      </c>
    </row>
    <row r="45" spans="1:9" x14ac:dyDescent="0.2">
      <c r="A45" s="11">
        <v>44</v>
      </c>
      <c r="B45" s="11">
        <f t="shared" si="5"/>
        <v>4400</v>
      </c>
      <c r="C45" s="12">
        <f t="shared" si="0"/>
        <v>44000</v>
      </c>
      <c r="D45" s="11"/>
      <c r="E45" s="13">
        <f t="shared" si="6"/>
        <v>8796093022208</v>
      </c>
      <c r="F45" s="14">
        <f t="shared" si="1"/>
        <v>219902325555200</v>
      </c>
      <c r="G45" s="12">
        <f t="shared" si="2"/>
        <v>219902.32555519999</v>
      </c>
      <c r="H45" s="11">
        <f t="shared" si="7"/>
        <v>4.9977801262545452</v>
      </c>
      <c r="I45" s="15">
        <f t="shared" si="8"/>
        <v>7.3300775185066662</v>
      </c>
    </row>
    <row r="46" spans="1:9" x14ac:dyDescent="0.2">
      <c r="A46" s="11">
        <v>45</v>
      </c>
      <c r="B46" s="11">
        <f t="shared" si="5"/>
        <v>4500</v>
      </c>
      <c r="C46" s="12">
        <f t="shared" si="0"/>
        <v>45000</v>
      </c>
      <c r="D46" s="11"/>
      <c r="E46" s="13">
        <f t="shared" si="6"/>
        <v>17592186044416</v>
      </c>
      <c r="F46" s="14">
        <f t="shared" si="1"/>
        <v>439804651110400</v>
      </c>
      <c r="G46" s="12">
        <f t="shared" si="2"/>
        <v>439804.65111039998</v>
      </c>
      <c r="H46" s="11">
        <f t="shared" si="7"/>
        <v>9.773436691342221</v>
      </c>
      <c r="I46" s="15">
        <f t="shared" si="8"/>
        <v>14.660155037013332</v>
      </c>
    </row>
    <row r="47" spans="1:9" x14ac:dyDescent="0.2">
      <c r="A47" s="7">
        <v>46</v>
      </c>
      <c r="B47" s="7">
        <f t="shared" si="5"/>
        <v>4600</v>
      </c>
      <c r="C47" s="8">
        <f t="shared" si="0"/>
        <v>46000</v>
      </c>
      <c r="D47" s="7"/>
      <c r="E47" s="10">
        <f t="shared" si="6"/>
        <v>35184372088832</v>
      </c>
      <c r="F47" s="9">
        <f t="shared" si="1"/>
        <v>879609302220800</v>
      </c>
      <c r="G47" s="8">
        <f t="shared" si="2"/>
        <v>879609.30222079996</v>
      </c>
      <c r="H47">
        <f t="shared" si="7"/>
        <v>19.121941352626084</v>
      </c>
    </row>
    <row r="48" spans="1:9" x14ac:dyDescent="0.2">
      <c r="A48" s="7">
        <v>47</v>
      </c>
      <c r="B48" s="7">
        <f t="shared" si="5"/>
        <v>4700</v>
      </c>
      <c r="C48" s="8">
        <f t="shared" si="0"/>
        <v>47000</v>
      </c>
      <c r="D48" s="7"/>
      <c r="E48" s="10">
        <f t="shared" si="6"/>
        <v>70368744177664</v>
      </c>
      <c r="F48" s="9">
        <f t="shared" si="1"/>
        <v>1759218604441600</v>
      </c>
      <c r="G48" s="8">
        <f t="shared" si="2"/>
        <v>1759218.6044415999</v>
      </c>
      <c r="H48">
        <f t="shared" si="7"/>
        <v>37.430183073225528</v>
      </c>
    </row>
    <row r="49" spans="1:8" x14ac:dyDescent="0.2">
      <c r="A49" s="7">
        <v>48</v>
      </c>
      <c r="B49" s="7">
        <f t="shared" si="5"/>
        <v>4800</v>
      </c>
      <c r="C49" s="8">
        <f t="shared" si="0"/>
        <v>48000</v>
      </c>
      <c r="D49" s="7"/>
      <c r="E49" s="10">
        <f t="shared" si="6"/>
        <v>140737488355328</v>
      </c>
      <c r="F49" s="9">
        <f t="shared" si="1"/>
        <v>3518437208883200</v>
      </c>
      <c r="G49" s="8">
        <f t="shared" si="2"/>
        <v>3518437.2088831998</v>
      </c>
      <c r="H49">
        <f t="shared" si="7"/>
        <v>73.300775185066669</v>
      </c>
    </row>
    <row r="50" spans="1:8" x14ac:dyDescent="0.2">
      <c r="A50" s="7">
        <v>49</v>
      </c>
      <c r="B50" s="7">
        <f t="shared" si="5"/>
        <v>4900</v>
      </c>
      <c r="C50" s="8">
        <f t="shared" si="0"/>
        <v>49000</v>
      </c>
      <c r="D50" s="7"/>
      <c r="E50" s="10">
        <f t="shared" si="6"/>
        <v>281474976710656</v>
      </c>
      <c r="F50" s="9">
        <f t="shared" si="1"/>
        <v>7036874417766400</v>
      </c>
      <c r="G50" s="8">
        <f t="shared" si="2"/>
        <v>7036874.4177663997</v>
      </c>
      <c r="H50">
        <f t="shared" si="7"/>
        <v>143.60968199523265</v>
      </c>
    </row>
    <row r="51" spans="1:8" x14ac:dyDescent="0.2">
      <c r="A51">
        <v>50</v>
      </c>
      <c r="B51">
        <f t="shared" si="5"/>
        <v>5000</v>
      </c>
      <c r="C51" s="2">
        <f t="shared" si="0"/>
        <v>50000</v>
      </c>
      <c r="E51" s="5">
        <f t="shared" si="6"/>
        <v>562949953421312</v>
      </c>
      <c r="F51" s="6">
        <f t="shared" si="1"/>
        <v>1.40737488355328E+16</v>
      </c>
      <c r="G51" s="3">
        <f t="shared" si="2"/>
        <v>14073748.835532799</v>
      </c>
    </row>
    <row r="52" spans="1:8" x14ac:dyDescent="0.2">
      <c r="A52">
        <v>51</v>
      </c>
      <c r="B52">
        <f t="shared" si="5"/>
        <v>5100</v>
      </c>
      <c r="C52" s="2">
        <f t="shared" si="0"/>
        <v>51000</v>
      </c>
      <c r="E52" s="5">
        <f t="shared" si="6"/>
        <v>1125899906842624</v>
      </c>
      <c r="F52" s="6">
        <f t="shared" si="1"/>
        <v>2.81474976710656E+16</v>
      </c>
      <c r="G52" s="3">
        <f t="shared" si="2"/>
        <v>28147497.671065599</v>
      </c>
    </row>
    <row r="53" spans="1:8" x14ac:dyDescent="0.2">
      <c r="A53">
        <v>52</v>
      </c>
      <c r="B53">
        <f t="shared" si="5"/>
        <v>5200</v>
      </c>
      <c r="C53" s="2">
        <f t="shared" si="0"/>
        <v>52000</v>
      </c>
      <c r="E53" s="5">
        <f t="shared" si="6"/>
        <v>2251799813685248</v>
      </c>
      <c r="F53" s="6">
        <f t="shared" si="1"/>
        <v>5.62949953421312E+16</v>
      </c>
      <c r="G53" s="3">
        <f t="shared" si="2"/>
        <v>56294995.342131197</v>
      </c>
    </row>
    <row r="54" spans="1:8" x14ac:dyDescent="0.2">
      <c r="A54">
        <v>53</v>
      </c>
      <c r="B54">
        <f t="shared" si="5"/>
        <v>5300</v>
      </c>
      <c r="C54" s="2">
        <f t="shared" si="0"/>
        <v>53000</v>
      </c>
      <c r="E54" s="5">
        <f t="shared" si="6"/>
        <v>4503599627370496</v>
      </c>
      <c r="F54" s="6">
        <f t="shared" si="1"/>
        <v>1.125899906842624E+17</v>
      </c>
      <c r="G54" s="3">
        <f t="shared" si="2"/>
        <v>112589990.68426239</v>
      </c>
    </row>
    <row r="55" spans="1:8" x14ac:dyDescent="0.2">
      <c r="A55">
        <v>54</v>
      </c>
      <c r="B55">
        <f t="shared" si="5"/>
        <v>5400</v>
      </c>
      <c r="C55" s="2">
        <f t="shared" si="0"/>
        <v>54000</v>
      </c>
      <c r="E55" s="5">
        <f t="shared" si="6"/>
        <v>9007199254740992</v>
      </c>
      <c r="F55" s="6">
        <f t="shared" si="1"/>
        <v>2.251799813685248E+17</v>
      </c>
      <c r="G55" s="3">
        <f t="shared" si="2"/>
        <v>225179981.36852479</v>
      </c>
    </row>
    <row r="56" spans="1:8" x14ac:dyDescent="0.2">
      <c r="A56">
        <v>55</v>
      </c>
      <c r="B56">
        <f t="shared" si="5"/>
        <v>5500</v>
      </c>
      <c r="C56" s="2">
        <f t="shared" si="0"/>
        <v>55000</v>
      </c>
      <c r="E56" s="5">
        <f t="shared" si="6"/>
        <v>1.8014398509481984E+16</v>
      </c>
      <c r="F56" s="6">
        <f t="shared" si="1"/>
        <v>4.503599627370496E+17</v>
      </c>
      <c r="G56" s="3">
        <f t="shared" si="2"/>
        <v>450359962.73704958</v>
      </c>
    </row>
    <row r="57" spans="1:8" x14ac:dyDescent="0.2">
      <c r="A57">
        <v>56</v>
      </c>
      <c r="B57">
        <f t="shared" si="5"/>
        <v>5600</v>
      </c>
      <c r="C57" s="2">
        <f t="shared" si="0"/>
        <v>56000</v>
      </c>
      <c r="E57" s="5">
        <f t="shared" si="6"/>
        <v>3.6028797018963968E+16</v>
      </c>
      <c r="F57" s="6">
        <f t="shared" si="1"/>
        <v>9.007199254740992E+17</v>
      </c>
      <c r="G57" s="3">
        <f t="shared" si="2"/>
        <v>900719925.47409916</v>
      </c>
    </row>
    <row r="58" spans="1:8" x14ac:dyDescent="0.2">
      <c r="A58">
        <v>57</v>
      </c>
      <c r="B58">
        <f t="shared" si="5"/>
        <v>5700</v>
      </c>
      <c r="C58" s="2">
        <f t="shared" si="0"/>
        <v>57000</v>
      </c>
      <c r="E58" s="5">
        <f t="shared" si="6"/>
        <v>7.2057594037927936E+16</v>
      </c>
      <c r="F58" s="6">
        <f t="shared" si="1"/>
        <v>1.8014398509481984E+18</v>
      </c>
      <c r="G58" s="3">
        <f t="shared" si="2"/>
        <v>1801439850.9481983</v>
      </c>
    </row>
    <row r="59" spans="1:8" x14ac:dyDescent="0.2">
      <c r="A59">
        <v>58</v>
      </c>
      <c r="B59">
        <f t="shared" si="5"/>
        <v>5800</v>
      </c>
      <c r="C59" s="2">
        <f t="shared" si="0"/>
        <v>58000</v>
      </c>
      <c r="E59" s="5">
        <f t="shared" si="6"/>
        <v>1.4411518807585587E+17</v>
      </c>
      <c r="F59" s="6">
        <f t="shared" si="1"/>
        <v>3.6028797018963968E+18</v>
      </c>
      <c r="G59" s="3">
        <f t="shared" si="2"/>
        <v>3602879701.8963966</v>
      </c>
    </row>
    <row r="60" spans="1:8" x14ac:dyDescent="0.2">
      <c r="A60">
        <v>59</v>
      </c>
      <c r="B60">
        <f t="shared" si="5"/>
        <v>5900</v>
      </c>
      <c r="C60" s="2">
        <f t="shared" si="0"/>
        <v>59000</v>
      </c>
      <c r="E60" s="5">
        <f t="shared" si="6"/>
        <v>2.8823037615171174E+17</v>
      </c>
      <c r="F60" s="6">
        <f t="shared" si="1"/>
        <v>7.2057594037927936E+18</v>
      </c>
      <c r="G60" s="3">
        <f t="shared" si="2"/>
        <v>7205759403.7927933</v>
      </c>
    </row>
    <row r="61" spans="1:8" x14ac:dyDescent="0.2">
      <c r="A61">
        <v>60</v>
      </c>
      <c r="B61">
        <f t="shared" si="5"/>
        <v>6000</v>
      </c>
      <c r="C61" s="2">
        <f t="shared" si="0"/>
        <v>60000</v>
      </c>
      <c r="E61" s="5">
        <f t="shared" si="6"/>
        <v>5.7646075230342349E+17</v>
      </c>
      <c r="F61" s="6">
        <f t="shared" si="1"/>
        <v>1.4411518807585587E+19</v>
      </c>
      <c r="G61" s="3">
        <f t="shared" si="2"/>
        <v>14411518807.585587</v>
      </c>
    </row>
    <row r="62" spans="1:8" x14ac:dyDescent="0.2">
      <c r="A62">
        <v>61</v>
      </c>
      <c r="B62">
        <f t="shared" si="5"/>
        <v>6100</v>
      </c>
      <c r="C62" s="2">
        <f t="shared" si="0"/>
        <v>61000</v>
      </c>
      <c r="E62" s="5">
        <f t="shared" si="6"/>
        <v>1.152921504606847E+18</v>
      </c>
      <c r="F62" s="6">
        <f t="shared" si="1"/>
        <v>2.8823037615171174E+19</v>
      </c>
      <c r="G62" s="3">
        <f t="shared" si="2"/>
        <v>28823037615.171173</v>
      </c>
    </row>
    <row r="63" spans="1:8" x14ac:dyDescent="0.2">
      <c r="A63">
        <v>62</v>
      </c>
      <c r="B63">
        <f t="shared" si="5"/>
        <v>6200</v>
      </c>
      <c r="C63" s="2">
        <f t="shared" si="0"/>
        <v>62000</v>
      </c>
      <c r="E63" s="5">
        <f t="shared" si="6"/>
        <v>2.305843009213694E+18</v>
      </c>
      <c r="F63" s="6">
        <f t="shared" si="1"/>
        <v>5.7646075230342349E+19</v>
      </c>
      <c r="G63" s="3">
        <f t="shared" si="2"/>
        <v>57646075230.342346</v>
      </c>
    </row>
    <row r="64" spans="1:8" x14ac:dyDescent="0.2">
      <c r="A64">
        <v>63</v>
      </c>
      <c r="B64">
        <f t="shared" si="5"/>
        <v>6300</v>
      </c>
      <c r="C64" s="2">
        <f t="shared" si="0"/>
        <v>63000</v>
      </c>
      <c r="E64" s="5">
        <f t="shared" si="6"/>
        <v>4.6116860184273879E+18</v>
      </c>
      <c r="F64" s="6">
        <f t="shared" si="1"/>
        <v>1.152921504606847E+20</v>
      </c>
      <c r="G64" s="3">
        <f t="shared" si="2"/>
        <v>115292150460.68469</v>
      </c>
    </row>
    <row r="65" spans="1:7" x14ac:dyDescent="0.2">
      <c r="A65">
        <v>64</v>
      </c>
      <c r="B65">
        <f t="shared" si="5"/>
        <v>6400</v>
      </c>
      <c r="C65" s="2">
        <f t="shared" si="0"/>
        <v>64000</v>
      </c>
      <c r="E65" s="5">
        <f t="shared" si="6"/>
        <v>9.2233720368547758E+18</v>
      </c>
      <c r="F65" s="6">
        <f t="shared" si="1"/>
        <v>2.305843009213694E+20</v>
      </c>
      <c r="G65" s="3">
        <f t="shared" si="2"/>
        <v>230584300921.36938</v>
      </c>
    </row>
    <row r="66" spans="1:7" x14ac:dyDescent="0.2">
      <c r="E66" s="5"/>
    </row>
    <row r="67" spans="1:7" x14ac:dyDescent="0.2">
      <c r="E67" s="5"/>
    </row>
    <row r="68" spans="1:7" x14ac:dyDescent="0.2">
      <c r="E68" s="5"/>
    </row>
    <row r="69" spans="1:7" x14ac:dyDescent="0.2">
      <c r="E69" s="5"/>
    </row>
    <row r="70" spans="1:7" x14ac:dyDescent="0.2">
      <c r="E70" s="5"/>
    </row>
    <row r="71" spans="1:7" x14ac:dyDescent="0.2">
      <c r="E71" s="5"/>
    </row>
    <row r="72" spans="1:7" x14ac:dyDescent="0.2">
      <c r="E72" s="5"/>
    </row>
    <row r="73" spans="1:7" x14ac:dyDescent="0.2">
      <c r="E73" s="5"/>
    </row>
    <row r="74" spans="1:7" x14ac:dyDescent="0.2">
      <c r="E74" s="5"/>
    </row>
    <row r="75" spans="1:7" x14ac:dyDescent="0.2">
      <c r="E75" s="5"/>
    </row>
    <row r="76" spans="1:7" x14ac:dyDescent="0.2">
      <c r="E76" s="5"/>
    </row>
    <row r="77" spans="1:7" x14ac:dyDescent="0.2">
      <c r="E77" s="5"/>
    </row>
    <row r="78" spans="1:7" x14ac:dyDescent="0.2">
      <c r="E78" s="5"/>
    </row>
    <row r="79" spans="1:7" x14ac:dyDescent="0.2">
      <c r="E79" s="5"/>
    </row>
    <row r="80" spans="1:7" x14ac:dyDescent="0.2">
      <c r="E80" s="5"/>
    </row>
    <row r="81" spans="5:5" x14ac:dyDescent="0.2">
      <c r="E81" s="5"/>
    </row>
    <row r="82" spans="5:5" x14ac:dyDescent="0.2">
      <c r="E82" s="5"/>
    </row>
    <row r="83" spans="5:5" x14ac:dyDescent="0.2">
      <c r="E83" s="5"/>
    </row>
    <row r="84" spans="5:5" x14ac:dyDescent="0.2">
      <c r="E84" s="5"/>
    </row>
    <row r="85" spans="5:5" x14ac:dyDescent="0.2">
      <c r="E85" s="5"/>
    </row>
    <row r="86" spans="5:5" x14ac:dyDescent="0.2">
      <c r="E86" s="5"/>
    </row>
    <row r="87" spans="5:5" x14ac:dyDescent="0.2">
      <c r="E87" s="5"/>
    </row>
    <row r="88" spans="5:5" x14ac:dyDescent="0.2">
      <c r="E88" s="5"/>
    </row>
    <row r="89" spans="5:5" x14ac:dyDescent="0.2">
      <c r="E89" s="5"/>
    </row>
    <row r="90" spans="5:5" x14ac:dyDescent="0.2">
      <c r="E90" s="5"/>
    </row>
    <row r="91" spans="5:5" x14ac:dyDescent="0.2">
      <c r="E91" s="5"/>
    </row>
    <row r="92" spans="5:5" x14ac:dyDescent="0.2">
      <c r="E92" s="5"/>
    </row>
    <row r="93" spans="5:5" x14ac:dyDescent="0.2">
      <c r="E93" s="5"/>
    </row>
    <row r="94" spans="5:5" x14ac:dyDescent="0.2">
      <c r="E94" s="5"/>
    </row>
    <row r="95" spans="5:5" x14ac:dyDescent="0.2">
      <c r="E95" s="5"/>
    </row>
    <row r="96" spans="5:5" x14ac:dyDescent="0.2">
      <c r="E96" s="5"/>
    </row>
    <row r="97" spans="5:5" x14ac:dyDescent="0.2">
      <c r="E97" s="5"/>
    </row>
    <row r="98" spans="5:5" x14ac:dyDescent="0.2">
      <c r="E98" s="5"/>
    </row>
    <row r="99" spans="5:5" x14ac:dyDescent="0.2">
      <c r="E99" s="5"/>
    </row>
    <row r="100" spans="5:5" x14ac:dyDescent="0.2">
      <c r="E100" s="5"/>
    </row>
    <row r="101" spans="5:5" x14ac:dyDescent="0.2">
      <c r="E101" s="5"/>
    </row>
    <row r="102" spans="5:5" x14ac:dyDescent="0.2">
      <c r="E102" s="5"/>
    </row>
    <row r="103" spans="5:5" x14ac:dyDescent="0.2">
      <c r="E103" s="5"/>
    </row>
    <row r="104" spans="5:5" x14ac:dyDescent="0.2">
      <c r="E104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Wikipedia</vt:lpstr>
      <vt:lpstr>Schach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Dreano</dc:creator>
  <cp:lastModifiedBy>Denis Dreano</cp:lastModifiedBy>
  <dcterms:created xsi:type="dcterms:W3CDTF">2026-01-15T15:47:09Z</dcterms:created>
  <dcterms:modified xsi:type="dcterms:W3CDTF">2026-01-23T16:24:19Z</dcterms:modified>
</cp:coreProperties>
</file>